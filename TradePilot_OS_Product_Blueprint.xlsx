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vi.Kajla\Desktop\Temp\AI Automation\Personnel\Ravi Kajla Trade Project\TradePilot-OS V2\"/>
    </mc:Choice>
  </mc:AlternateContent>
  <xr:revisionPtr revIDLastSave="0" documentId="13_ncr:1_{885314DB-6AD5-4556-BE87-BE5687E01F74}" xr6:coauthVersionLast="47" xr6:coauthVersionMax="47" xr10:uidLastSave="{00000000-0000-0000-0000-000000000000}"/>
  <bookViews>
    <workbookView xWindow="19110" yWindow="0" windowWidth="19380" windowHeight="20970" tabRatio="500" firstSheet="7" activeTab="10" xr2:uid="{00000000-000D-0000-FFFF-FFFF00000000}"/>
  </bookViews>
  <sheets>
    <sheet name="Index" sheetId="1" r:id="rId1"/>
    <sheet name="Product Strategy" sheetId="2" r:id="rId2"/>
    <sheet name="Product Vision" sheetId="3" r:id="rId3"/>
    <sheet name="Product Requirements" sheetId="4" r:id="rId4"/>
    <sheet name="Feature Dependency Matrix" sheetId="5" r:id="rId5"/>
    <sheet name="Development Roadmap" sheetId="6" r:id="rId6"/>
    <sheet name="Roadmap (5-Year)" sheetId="7" r:id="rId7"/>
    <sheet name="Sprint Planner" sheetId="8" r:id="rId8"/>
    <sheet name="Feature Tracker" sheetId="9" r:id="rId9"/>
    <sheet name="Task Tracker" sheetId="10" r:id="rId10"/>
    <sheet name="Module Tracker" sheetId="11" r:id="rId11"/>
    <sheet name="Architecture Overview" sheetId="12" r:id="rId12"/>
    <sheet name="Module Architecture" sheetId="13" r:id="rId13"/>
    <sheet name="System Diagrams" sheetId="14" r:id="rId14"/>
    <sheet name="Market Data Architecture" sheetId="15" r:id="rId15"/>
    <sheet name="Domain Model" sheetId="16" r:id="rId16"/>
    <sheet name="Event Catalog" sheetId="17" r:id="rId17"/>
    <sheet name="State Machines" sheetId="18" r:id="rId18"/>
    <sheet name="Plugin System" sheetId="19" r:id="rId19"/>
    <sheet name="ADR Log" sheetId="20" r:id="rId20"/>
    <sheet name="UI Screens" sheetId="21" r:id="rId21"/>
    <sheet name="UI Components" sheetId="22" r:id="rId22"/>
    <sheet name="Workspace Layouts" sheetId="23" r:id="rId23"/>
    <sheet name="Navigation Flow" sheetId="24" r:id="rId24"/>
    <sheet name="User Journey" sheetId="25" r:id="rId25"/>
    <sheet name="UX Standards" sheetId="26" r:id="rId26"/>
    <sheet name="Database Schema" sheetId="27" r:id="rId27"/>
    <sheet name="Database Dictionary" sheetId="28" r:id="rId28"/>
    <sheet name="API Registry" sheetId="29" r:id="rId29"/>
    <sheet name="Configuration Matrix" sheetId="30" r:id="rId30"/>
    <sheet name="Data Retention Policy" sheetId="31" r:id="rId31"/>
    <sheet name="Strategy Classification" sheetId="32" r:id="rId32"/>
    <sheet name="Strategy Library" sheetId="33" r:id="rId33"/>
    <sheet name="AI Architecture" sheetId="34" r:id="rId34"/>
    <sheet name="AI Assistant Modules" sheetId="35" r:id="rId35"/>
    <sheet name="Risk Management" sheetId="36" r:id="rId36"/>
    <sheet name="Broker Integration" sheetId="37" r:id="rId37"/>
    <sheet name="Security Checklist" sheetId="38" r:id="rId38"/>
    <sheet name="Permissions Matrix" sheetId="39" r:id="rId39"/>
    <sheet name="Coding Standards" sheetId="40" r:id="rId40"/>
    <sheet name="Testing Matrix" sheetId="41" r:id="rId41"/>
    <sheet name="Test Data Catalog" sheetId="42" r:id="rId42"/>
    <sheet name="Performance Benchmarks" sheetId="43" r:id="rId43"/>
    <sheet name="Error Code Catalog" sheetId="44" r:id="rId44"/>
    <sheet name="Deployment Checklist" sheetId="45" r:id="rId45"/>
    <sheet name="Enterprise Logging" sheetId="46" r:id="rId46"/>
    <sheet name="Observability &amp; SLOs" sheetId="47" r:id="rId47"/>
    <sheet name="Disaster Recovery" sheetId="48" r:id="rId48"/>
    <sheet name="Release Management" sheetId="49" r:id="rId49"/>
    <sheet name="Release Planner" sheetId="50" r:id="rId50"/>
    <sheet name="Bug Tracker" sheetId="51" r:id="rId51"/>
    <sheet name="Change Log" sheetId="52" r:id="rId52"/>
    <sheet name="Documentation Tracker" sheetId="53" r:id="rId53"/>
    <sheet name="Future Enhancements" sheetId="54" r:id="rId54"/>
    <sheet name="Milestone Track" sheetId="55" r:id="rId55"/>
  </sheets>
  <definedNames>
    <definedName name="_xlnm._FilterDatabase" localSheetId="19" hidden="1">'ADR Log'!$A$1:$H$9</definedName>
    <definedName name="_xlnm._FilterDatabase" localSheetId="33" hidden="1">'AI Architecture'!$A$1:$F$25</definedName>
    <definedName name="_xlnm._FilterDatabase" localSheetId="34" hidden="1">'AI Assistant Modules'!$A$1:$H$15</definedName>
    <definedName name="_xlnm._FilterDatabase" localSheetId="28" hidden="1">'API Registry'!$A$1:$K$25</definedName>
    <definedName name="_xlnm._FilterDatabase" localSheetId="11" hidden="1">'Architecture Overview'!$A$1:$F$17</definedName>
    <definedName name="_xlnm._FilterDatabase" localSheetId="36" hidden="1">'Broker Integration'!$A$1:$J$9</definedName>
    <definedName name="_xlnm._FilterDatabase" localSheetId="50" hidden="1">'Bug Tracker'!$A$1:$J$2</definedName>
    <definedName name="_xlnm._FilterDatabase" localSheetId="51" hidden="1">'Change Log'!$A$1:$G$2</definedName>
    <definedName name="_xlnm._FilterDatabase" localSheetId="39" hidden="1">'Coding Standards'!$A$1:$D$16</definedName>
    <definedName name="_xlnm._FilterDatabase" localSheetId="29" hidden="1">'Configuration Matrix'!$A$1:$H$23</definedName>
    <definedName name="_xlnm._FilterDatabase" localSheetId="30" hidden="1">'Data Retention Policy'!$A$1:$F$12</definedName>
    <definedName name="_xlnm._FilterDatabase" localSheetId="27" hidden="1">'Database Dictionary'!$A$1:$I$16</definedName>
    <definedName name="_xlnm._FilterDatabase" localSheetId="26" hidden="1">'Database Schema'!$A$1:$H$99</definedName>
    <definedName name="_xlnm._FilterDatabase" localSheetId="44" hidden="1">'Deployment Checklist'!$A$1:$G$14</definedName>
    <definedName name="_xlnm._FilterDatabase" localSheetId="5" hidden="1">'Development Roadmap'!$A$1:$H$8</definedName>
    <definedName name="_xlnm._FilterDatabase" localSheetId="47" hidden="1">'Disaster Recovery'!$A$1:$F$9</definedName>
    <definedName name="_xlnm._FilterDatabase" localSheetId="52" hidden="1">'Documentation Tracker'!$A$1:$H$13</definedName>
    <definedName name="_xlnm._FilterDatabase" localSheetId="15" hidden="1">'Domain Model'!$A$1:$G$17</definedName>
    <definedName name="_xlnm._FilterDatabase" localSheetId="45" hidden="1">'Enterprise Logging'!$A$1:$G$9</definedName>
    <definedName name="_xlnm._FilterDatabase" localSheetId="43" hidden="1">'Error Code Catalog'!$A$1:$F$22</definedName>
    <definedName name="_xlnm._FilterDatabase" localSheetId="16" hidden="1">'Event Catalog'!$A$1:$F$17</definedName>
    <definedName name="_xlnm._FilterDatabase" localSheetId="4" hidden="1">'Feature Dependency Matrix'!$A$1:$E$25</definedName>
    <definedName name="_xlnm._FilterDatabase" localSheetId="8" hidden="1">'Feature Tracker'!$A$1:$I$26</definedName>
    <definedName name="_xlnm._FilterDatabase" localSheetId="53" hidden="1">'Future Enhancements'!$A$1:$G$13</definedName>
    <definedName name="_xlnm._FilterDatabase" localSheetId="14" hidden="1">'Market Data Architecture'!$A$1:$F$13</definedName>
    <definedName name="_xlnm._FilterDatabase" localSheetId="12" hidden="1">'Module Architecture'!$A$1:$E$19</definedName>
    <definedName name="_xlnm._FilterDatabase" localSheetId="10" hidden="1">'Module Tracker'!$A$1:$G$21</definedName>
    <definedName name="_xlnm._FilterDatabase" localSheetId="23" hidden="1">'Navigation Flow'!$A$1:$E$18</definedName>
    <definedName name="_xlnm._FilterDatabase" localSheetId="46" hidden="1">'Observability &amp; SLOs'!$A$1:$F$13</definedName>
    <definedName name="_xlnm._FilterDatabase" localSheetId="42" hidden="1">'Performance Benchmarks'!$A$1:$H$20</definedName>
    <definedName name="_xlnm._FilterDatabase" localSheetId="38" hidden="1">'Permissions Matrix'!$A$1:$G$21</definedName>
    <definedName name="_xlnm._FilterDatabase" localSheetId="18" hidden="1">'Plugin System'!$A$1:$F$9</definedName>
    <definedName name="_xlnm._FilterDatabase" localSheetId="3" hidden="1">'Product Requirements'!$A$1:$H$31</definedName>
    <definedName name="_xlnm._FilterDatabase" localSheetId="1" hidden="1">'Product Strategy'!$A$1:$C$26</definedName>
    <definedName name="_xlnm._FilterDatabase" localSheetId="2" hidden="1">'Product Vision'!$A$1:$C$26</definedName>
    <definedName name="_xlnm._FilterDatabase" localSheetId="48" hidden="1">'Release Management'!$A$1:$F$8</definedName>
    <definedName name="_xlnm._FilterDatabase" localSheetId="49" hidden="1">'Release Planner'!$A$1:$G$9</definedName>
    <definedName name="_xlnm._FilterDatabase" localSheetId="35" hidden="1">'Risk Management'!$A$1:$H$20</definedName>
    <definedName name="_xlnm._FilterDatabase" localSheetId="6" hidden="1">'Roadmap (5-Year)'!$A$1:$F$8</definedName>
    <definedName name="_xlnm._FilterDatabase" localSheetId="37" hidden="1">'Security Checklist'!$A$1:$F$27</definedName>
    <definedName name="_xlnm._FilterDatabase" localSheetId="7" hidden="1">'Sprint Planner'!$A$1:$H$13</definedName>
    <definedName name="_xlnm._FilterDatabase" localSheetId="17" hidden="1">'State Machines'!$A$1:$E$7</definedName>
    <definedName name="_xlnm._FilterDatabase" localSheetId="31" hidden="1">'Strategy Classification'!$A$1:$F$29</definedName>
    <definedName name="_xlnm._FilterDatabase" localSheetId="32" hidden="1">'Strategy Library'!$A$1:$L$20</definedName>
    <definedName name="_xlnm._FilterDatabase" localSheetId="13" hidden="1">'System Diagrams'!$A$1:$D$11</definedName>
    <definedName name="_xlnm._FilterDatabase" localSheetId="9" hidden="1">'Task Tracker'!$A$1:$I$32</definedName>
    <definedName name="_xlnm._FilterDatabase" localSheetId="41" hidden="1">'Test Data Catalog'!$A$1:$G$12</definedName>
    <definedName name="_xlnm._FilterDatabase" localSheetId="40" hidden="1">'Testing Matrix'!$A$1:$H$18</definedName>
    <definedName name="_xlnm._FilterDatabase" localSheetId="21" hidden="1">'UI Components'!$A$1:$F$19</definedName>
    <definedName name="_xlnm._FilterDatabase" localSheetId="20" hidden="1">'UI Screens'!$A$1:$H$21</definedName>
    <definedName name="_xlnm._FilterDatabase" localSheetId="24" hidden="1">'User Journey'!$A$1:$H$19</definedName>
    <definedName name="_xlnm._FilterDatabase" localSheetId="25" hidden="1">'UX Standards'!$A$1:$D$16</definedName>
    <definedName name="_xlnm._FilterDatabase" localSheetId="22" hidden="1">'Workspace Layouts'!$A$1:$E$9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2" i="10" l="1"/>
  <c r="G13" i="8"/>
  <c r="G12" i="8"/>
  <c r="G11" i="8"/>
  <c r="G10" i="8"/>
  <c r="G9" i="8"/>
  <c r="G8" i="8"/>
  <c r="G7" i="8"/>
  <c r="G6" i="8"/>
  <c r="G5" i="8"/>
  <c r="G4" i="8"/>
  <c r="G3" i="8"/>
  <c r="G2" i="8"/>
  <c r="D79" i="1"/>
  <c r="D78" i="1"/>
  <c r="D77" i="1"/>
  <c r="D76" i="1"/>
  <c r="D75" i="1"/>
  <c r="D74" i="1"/>
  <c r="D73" i="1"/>
  <c r="D72" i="1"/>
  <c r="D71" i="1"/>
  <c r="D70" i="1"/>
  <c r="D67" i="1"/>
  <c r="D66" i="1"/>
  <c r="D65" i="1"/>
  <c r="D64" i="1"/>
  <c r="D63" i="1"/>
  <c r="D62" i="1"/>
  <c r="D61" i="1"/>
  <c r="D58" i="1"/>
  <c r="D57" i="1"/>
  <c r="D56" i="1"/>
  <c r="D55" i="1"/>
  <c r="D54" i="1"/>
  <c r="D53" i="1"/>
  <c r="D50" i="1"/>
  <c r="D49" i="1"/>
  <c r="D48" i="1"/>
  <c r="D47" i="1"/>
  <c r="D46" i="1"/>
  <c r="D43" i="1"/>
  <c r="D42" i="1"/>
  <c r="D41" i="1"/>
  <c r="D40" i="1"/>
  <c r="D39" i="1"/>
  <c r="D38" i="1"/>
  <c r="D35" i="1"/>
  <c r="D34" i="1"/>
  <c r="D33" i="1"/>
  <c r="D32" i="1"/>
  <c r="D31" i="1"/>
  <c r="D30" i="1"/>
  <c r="D29" i="1"/>
  <c r="D28" i="1"/>
  <c r="D27" i="1"/>
  <c r="D24" i="1"/>
  <c r="D23" i="1"/>
  <c r="D22" i="1"/>
  <c r="D21" i="1"/>
  <c r="D20" i="1"/>
  <c r="D19" i="1"/>
  <c r="D18" i="1"/>
  <c r="D17" i="1"/>
  <c r="D16" i="1"/>
  <c r="D15" i="1"/>
</calcChain>
</file>

<file path=xl/sharedStrings.xml><?xml version="1.0" encoding="utf-8"?>
<sst xmlns="http://schemas.openxmlformats.org/spreadsheetml/2006/main" count="6683" uniqueCount="4543">
  <si>
    <t>TradePilot OS — Enterprise Trading Platform: Complete Enterprise Blueprint (v2)</t>
  </si>
  <si>
    <t>Single source of truth for planning, architecture, implementation, testing, deployment and maintenance.</t>
  </si>
  <si>
    <t>Prepared: July 2026  ·  Platform: Python 3.12 / PyCharm  ·  Architecture: Clean Architecture modular monolith, microservice-ready</t>
  </si>
  <si>
    <t>LEGEND</t>
  </si>
  <si>
    <t>Blue text</t>
  </si>
  <si>
    <t>Cells you fill in / update as the project progresses (e.g., Completed Pts, Baseline, Current)</t>
  </si>
  <si>
    <t>Black text</t>
  </si>
  <si>
    <t>Blueprint content and calculated formulas</t>
  </si>
  <si>
    <t>Yellow NOTES band</t>
  </si>
  <si>
    <t>Assumptions, conventions and instructions at the bottom of a sheet</t>
  </si>
  <si>
    <t>Status vocabulary</t>
  </si>
  <si>
    <t>Planned / In Progress / Done / Blocked / Backlog (trackers define their own where noted)</t>
  </si>
  <si>
    <t>Example rows</t>
  </si>
  <si>
    <t>Bug Tracker and Change Log each start with one example row marked 'EXAMPLE ROW' — replace it</t>
  </si>
  <si>
    <t>WORKBOOK MAP</t>
  </si>
  <si>
    <t>STRATEGY &amp; PLANNING</t>
  </si>
  <si>
    <t>Product Strategy</t>
  </si>
  <si>
    <t>Vision, mission, positioning, competitor analysis, USPs, revenue/licensing model, editions</t>
  </si>
  <si>
    <t>Product Vision</t>
  </si>
  <si>
    <t>Objectives, target users, business goals, value proposition, roadmap summary</t>
  </si>
  <si>
    <t>Product Requirements</t>
  </si>
  <si>
    <t>Functional &amp; non-functional requirements with MoSCoW priority and acceptance criteria</t>
  </si>
  <si>
    <t>Feature Dependency Matrix</t>
  </si>
  <si>
    <t>Hard/soft dependencies and build-order rules across 24 capabilities</t>
  </si>
  <si>
    <t>Development Roadmap</t>
  </si>
  <si>
    <t>Phase-wise plan, milestones, dependencies, durations and priority guidance</t>
  </si>
  <si>
    <t>Roadmap (5-Year)</t>
  </si>
  <si>
    <t>v1.0 Trading Core → v5.0 Cloud Enterprise with success criteria per version</t>
  </si>
  <si>
    <t>Sprint Planner</t>
  </si>
  <si>
    <t>12 planned sprints with goals, points and calculated completion %</t>
  </si>
  <si>
    <t>Feature Tracker</t>
  </si>
  <si>
    <t>Epic → Feature mapping with priority, sprint, owner and status</t>
  </si>
  <si>
    <t>Task Tracker</t>
  </si>
  <si>
    <t>Task/subtask breakdown with hour estimates and total (formula)</t>
  </si>
  <si>
    <t>Module Tracker</t>
  </si>
  <si>
    <t>Every package in the Clean Architecture layout with responsibilities and dependencies</t>
  </si>
  <si>
    <t>ARCHITECTURE</t>
  </si>
  <si>
    <t>Architecture Overview</t>
  </si>
  <si>
    <t>Layers, components, technologies, patterns, data flows and scalability notes</t>
  </si>
  <si>
    <t>Module Architecture</t>
  </si>
  <si>
    <t>Full L1→L3 module tree of Trading Engine + Platform with interfaces</t>
  </si>
  <si>
    <t>System Diagrams</t>
  </si>
  <si>
    <t>Authoritative text sketches: HLA, components, sequences, deployment, ERD, packages, events, threads, nav tree</t>
  </si>
  <si>
    <t>Market Data Architecture</t>
  </si>
  <si>
    <t>12-stage pipeline Exchange → UI/DB with latency budgets and failure handling</t>
  </si>
  <si>
    <t>Domain Model</t>
  </si>
  <si>
    <t>16 entities/aggregates with invariants, behaviours and bounded contexts</t>
  </si>
  <si>
    <t>Event Catalog</t>
  </si>
  <si>
    <t>16 domain events: producers, payloads, consumers, delivery guarantees</t>
  </si>
  <si>
    <t>State Machines</t>
  </si>
  <si>
    <t>6 lifecycle machines (Order, Position, Broker, Session, AI, Alert) with guarded transitions</t>
  </si>
  <si>
    <t>Plugin System</t>
  </si>
  <si>
    <t>Plugin SDK contracts, permission model and marketplace path for 7 plugin types</t>
  </si>
  <si>
    <t>ADR Log</t>
  </si>
  <si>
    <t>Architecture Decision Records index: 7 accepted decisions + template</t>
  </si>
  <si>
    <t>UI &amp; UX</t>
  </si>
  <si>
    <t>UI Screens</t>
  </si>
  <si>
    <t>Screen-by-screen specifications: purpose, elements, data, actions</t>
  </si>
  <si>
    <t>UI Components</t>
  </si>
  <si>
    <t>Reusable component library with usage and accessibility notes</t>
  </si>
  <si>
    <t>Workspace Layouts</t>
  </si>
  <si>
    <t>8 persona layouts: Beginner → Multi-Monitor with special behaviours</t>
  </si>
  <si>
    <t>Navigation Flow</t>
  </si>
  <si>
    <t>Screen-to-screen transitions with triggers, guards and error routes</t>
  </si>
  <si>
    <t>User Journey</t>
  </si>
  <si>
    <t>Step-level journeys: daily trading, onboarding, strategy development, portfolio review</t>
  </si>
  <si>
    <t>UX Standards</t>
  </si>
  <si>
    <t>Design tokens, typography, icons, accessibility, hotkeys, drag-drop, docking, multi-monitor</t>
  </si>
  <si>
    <t>DATA &amp; API</t>
  </si>
  <si>
    <t>Database Schema</t>
  </si>
  <si>
    <t>Tables, columns, types, keys, indexes; migration &amp; backup strategy in the notes row</t>
  </si>
  <si>
    <t>Database Dictionary</t>
  </si>
  <si>
    <t>Table-level contracts: purpose, keys, indexes, constraints, relationships, sizing</t>
  </si>
  <si>
    <t>API Registry</t>
  </si>
  <si>
    <t>Internal REST/WS endpoints with auth, payloads, rate limits and conventions</t>
  </si>
  <si>
    <t>Configuration Matrix</t>
  </si>
  <si>
    <t>22 settings with types, defaults, validation, storage and precedence rules</t>
  </si>
  <si>
    <t>Data Retention Policy</t>
  </si>
  <si>
    <t>11 data classes: hot retention, archival, purge rules, legal rationale</t>
  </si>
  <si>
    <t>TRADING DOMAIN</t>
  </si>
  <si>
    <t>Strategy Classification</t>
  </si>
  <si>
    <t>Codifiable taxonomy: 28 setups across 6 families linked to the Strategy Library</t>
  </si>
  <si>
    <t>Strategy Library</t>
  </si>
  <si>
    <t>19 non-indicator strategies: theory, entries, exits, risk, sizing, validation requirements</t>
  </si>
  <si>
    <t>AI Architecture</t>
  </si>
  <si>
    <t>Four AI assistants (Analyst/Trade/Portfolio/Research) with 24 capabilities mapped to engineering modules</t>
  </si>
  <si>
    <t>AI Assistant Modules</t>
  </si>
  <si>
    <t>14 decision-support capabilities with explainability contracts and feedback loops</t>
  </si>
  <si>
    <t>Risk Management</t>
  </si>
  <si>
    <t>19 risk controls: rules, thresholds, enforcement points, breach actions</t>
  </si>
  <si>
    <t>Broker Integration</t>
  </si>
  <si>
    <t>Multi-broker architecture: adapters, auth, streaming, sync, failover, priorities</t>
  </si>
  <si>
    <t>QUALITY &amp; SECURITY</t>
  </si>
  <si>
    <t>Security Checklist</t>
  </si>
  <si>
    <t>20 controls across auth, secrets, encryption, API, audit, supply chain, compliance</t>
  </si>
  <si>
    <t>Permissions Matrix</t>
  </si>
  <si>
    <t>RBAC grid: 20 actions x 5 roles with safety-first rules</t>
  </si>
  <si>
    <t>Coding Standards</t>
  </si>
  <si>
    <t>Naming, structure, dependency rules, logging, exceptions, type hints, docstrings - all with enforcement</t>
  </si>
  <si>
    <t>Testing Matrix</t>
  </si>
  <si>
    <t>Unit → chaos: scope, tooling, pass criteria, environment, frequency</t>
  </si>
  <si>
    <t>Test Data Catalog</t>
  </si>
  <si>
    <t>11 curated datasets: fixtures, replay days, cassettes, golden reports, AI eval sets</t>
  </si>
  <si>
    <t>Performance Benchmarks</t>
  </si>
  <si>
    <t>Latency/throughput/memory targets with measurement methods (fill in as measured)</t>
  </si>
  <si>
    <t>Error Code Catalog</t>
  </si>
  <si>
    <t>21 standardized codes with user messages and recovery guidance</t>
  </si>
  <si>
    <t>OPERATIONS &amp; GOVERNANCE</t>
  </si>
  <si>
    <t>Deployment Checklist</t>
  </si>
  <si>
    <t>Environments, CI/CD, Docker, packaging, backup, DR, release management</t>
  </si>
  <si>
    <t>Enterprise Logging</t>
  </si>
  <si>
    <t>7 log streams + trace correlation with formats, retention and alert hooks</t>
  </si>
  <si>
    <t>Observability &amp; SLOs</t>
  </si>
  <si>
    <t>12 signals with SLOs, alerts, dashboards and error-budget policy</t>
  </si>
  <si>
    <t>Disaster Recovery</t>
  </si>
  <si>
    <t>8 scenarios with RPO/RTO, backup strategy, restore procedures, failover, drill schedule</t>
  </si>
  <si>
    <t>Release Management</t>
  </si>
  <si>
    <t>Alpha → LTS channel definitions, entry criteria, hotfix/patch policy</t>
  </si>
  <si>
    <t>Release Planner</t>
  </si>
  <si>
    <t>v0.1 → v2.5 releases with scope, headline features and gate criteria</t>
  </si>
  <si>
    <t>Bug Tracker</t>
  </si>
  <si>
    <t>Defect log template with severity scale and workflow (example row included)</t>
  </si>
  <si>
    <t>Change Log</t>
  </si>
  <si>
    <t>Keep-a-Changelog style history (example row included)</t>
  </si>
  <si>
    <t>Documentation Tracker</t>
  </si>
  <si>
    <t>All documentation deliverables with audience, format, owner and location</t>
  </si>
  <si>
    <t>Future Enhancements</t>
  </si>
  <si>
    <t>Post-v1 backlog with value, effort and earliest version</t>
  </si>
  <si>
    <t>Dimension</t>
  </si>
  <si>
    <t>Item</t>
  </si>
  <si>
    <t>Detail</t>
  </si>
  <si>
    <t>Vision</t>
  </si>
  <si>
    <t>10-Year Vision</t>
  </si>
  <si>
    <t>The default trading operating system for serious Indian traders: every decision researched, validated, sized and journaled inside one auditable, extensible platform</t>
  </si>
  <si>
    <t>Mission</t>
  </si>
  <si>
    <t>Mission Statement</t>
  </si>
  <si>
    <t>Give individual traders and small desks institutional-grade structure - risk discipline, explainable analytics and process - without institutional cost or complexity</t>
  </si>
  <si>
    <t>Positioning</t>
  </si>
  <si>
    <t>Category</t>
  </si>
  <si>
    <t>Trading OS / decision-support platform - not a broker, not a tip service, not an autonomous bot</t>
  </si>
  <si>
    <t>One-line Position</t>
  </si>
  <si>
    <t>Bloomberg-grade discipline + TradingView-grade usability + NinjaTrader-grade execution workflow, India-first</t>
  </si>
  <si>
    <t>Target Audience</t>
  </si>
  <si>
    <t>Segment 1 (beachhead)</t>
  </si>
  <si>
    <t>Active Indian retail traders (equity + F&amp;O), 1-25 lakh capital, trading 3+ days/week</t>
  </si>
  <si>
    <t>Segment 2</t>
  </si>
  <si>
    <t>Full-time traders and small prop desks (2-10 seats) needing shared risk oversight</t>
  </si>
  <si>
    <t>Segment 3</t>
  </si>
  <si>
    <t>Serious investors wanting portfolio analytics + research workflow (non-intraday)</t>
  </si>
  <si>
    <t>Competitor Analysis</t>
  </si>
  <si>
    <t>TradingView</t>
  </si>
  <si>
    <t>Strength: charts, community, UX. Gap: weak order/risk management, indicator-centric, no true portfolio/risk engine → we win on execution discipline &amp; risk-first design</t>
  </si>
  <si>
    <t>Bloomberg Terminal</t>
  </si>
  <si>
    <t>Strength: data breadth, analytics. Gap: cost (lakhs/yr), not retail-accessible, no Indian retail broker routing → we win on price and India workflow</t>
  </si>
  <si>
    <t>NinjaTrader / Sierra Chart</t>
  </si>
  <si>
    <t>Strength: execution, order flow. Gap: futures/US-centric, steep learning curve, no India brokers → we win on Indian market fit + AI assistance</t>
  </si>
  <si>
    <t>QuantConnect / AmiBroker</t>
  </si>
  <si>
    <t>Strength: backtesting depth. Gap: code-first, no live decision-support cockpit → we win on integrated live workflow + explainable AI</t>
  </si>
  <si>
    <t>Broker terminals (Kite, Angel One app)</t>
  </si>
  <si>
    <t>Strength: free, simple. Gap: single-broker lock-in, minimal risk tools, no journaling/strategy layer → we win on multi-broker + process</t>
  </si>
  <si>
    <t>USP</t>
  </si>
  <si>
    <t>USP 1</t>
  </si>
  <si>
    <t>Risk-first architecture: hard limits, portfolio heat model and kill switch are core primitives, not add-ons</t>
  </si>
  <si>
    <t>USP 2</t>
  </si>
  <si>
    <t>Non-indicator strategy engine: codified market-structure/auction/liquidity playbooks with validation gates</t>
  </si>
  <si>
    <t>USP 3</t>
  </si>
  <si>
    <t>Explainable AI copilot: every recommendation ships evidence, confidence and violated-rule lists; never auto-trades</t>
  </si>
  <si>
    <t>USP 4</t>
  </si>
  <si>
    <t>Broker-agnostic: one workflow across Zerodha/Upstox/Angel One with reconciliation and failover</t>
  </si>
  <si>
    <t>Revenue Model</t>
  </si>
  <si>
    <t>Primary</t>
  </si>
  <si>
    <t>Subscription SaaS-style licensing (monthly/annual) even for desktop: license server validates entitlements</t>
  </si>
  <si>
    <t>Secondary</t>
  </si>
  <si>
    <t>Paid plugin marketplace revenue share (70/30) from v3.0; enterprise support contracts</t>
  </si>
  <si>
    <t>Explicitly excluded</t>
  </si>
  <si>
    <t>No brokerage kickbacks, no order-flow monetisation, no tips/advisory - keeps incentives aligned with users and avoids advisory licensing scope</t>
  </si>
  <si>
    <t>Licensing Model</t>
  </si>
  <si>
    <t>Retail licenses</t>
  </si>
  <si>
    <t>Per-user license, machine-activated (2 devices), offline grace 14 days</t>
  </si>
  <si>
    <t>Enterprise licenses</t>
  </si>
  <si>
    <t>Per-seat with floating option, private license server, annual contract, SSO integration</t>
  </si>
  <si>
    <t>Editions</t>
  </si>
  <si>
    <t>Free (Paper)</t>
  </si>
  <si>
    <t>Paper trading only, 1 watchlist (50 symbols), delayed briefing, community strategies read-only - the funnel</t>
  </si>
  <si>
    <t>Pro</t>
  </si>
  <si>
    <t>Live trading, all strategies, AI assistant, 3 broker connections, full journal/backtesting - the core product</t>
  </si>
  <si>
    <t>Enterprise</t>
  </si>
  <si>
    <t>Multi-user, RBAC, desk risk roll-up, audit exports, private plugins, priority support, LTS releases</t>
  </si>
  <si>
    <t>Edition Gating Principle</t>
  </si>
  <si>
    <t>Rule</t>
  </si>
  <si>
    <t>Safety features (risk limits, kill switch, audit) are NEVER edition-gated - only capacity, connectivity and analytics depth are</t>
  </si>
  <si>
    <t>Product Identity</t>
  </si>
  <si>
    <t>Product Name</t>
  </si>
  <si>
    <t>TradePilot OS - Enterprise Trading &amp; Investment Platform</t>
  </si>
  <si>
    <t>Platform</t>
  </si>
  <si>
    <t>Python 3.12+ desktop-first application (PySide6/Qt) with service layer ready for web/mobile clients</t>
  </si>
  <si>
    <t>Development Environment</t>
  </si>
  <si>
    <t>PyCharm Professional, Git, Docker, pytest, pre-commit tooling</t>
  </si>
  <si>
    <t>Objectives</t>
  </si>
  <si>
    <t>O1 - Unified Trading Workspace</t>
  </si>
  <si>
    <t>Single workspace for market analysis, order execution, portfolio and risk management across multiple brokers</t>
  </si>
  <si>
    <t>O2 - Decision Support, Not Automation</t>
  </si>
  <si>
    <t>AI assistant provides analysis, validation, scoring and briefings; the human trader always approves execution</t>
  </si>
  <si>
    <t>O3 - Non-Indicator Strategy Core</t>
  </si>
  <si>
    <t>First-class support for market structure, price action, auction theory and statistical methods rather than lagging indicators</t>
  </si>
  <si>
    <t>O4 - Institutional-Grade Risk</t>
  </si>
  <si>
    <t>Risk checks enforced pre-trade, intra-day and at portfolio level with hard limits that cannot be silently bypassed</t>
  </si>
  <si>
    <t>O5 - Production Quality</t>
  </si>
  <si>
    <t>Clean Architecture, full test coverage on the trading engine, auditable logs, reproducible deployments</t>
  </si>
  <si>
    <t>Target Users</t>
  </si>
  <si>
    <t>Active retail and semi-professional traders (equities, F&amp;O, commodities) managing their own capital</t>
  </si>
  <si>
    <t>Small prop desks and RIA/analyst teams needing research, watchlists and risk oversight for 2-10 users</t>
  </si>
  <si>
    <t>Tertiary</t>
  </si>
  <si>
    <t>Quant hobbyists who want a structured backtesting and paper-trading environment</t>
  </si>
  <si>
    <t>Business Goals</t>
  </si>
  <si>
    <t>B1</t>
  </si>
  <si>
    <t>Reach a stable MVP usable for daily live trading within 6 months</t>
  </si>
  <si>
    <t>B2</t>
  </si>
  <si>
    <t>Support at least 3 broker integrations (India-first: Zerodha, Upstox, Angel One) by v1.0</t>
  </si>
  <si>
    <t>B3</t>
  </si>
  <si>
    <t>Keep total infrastructure cost for a single-user deployment under a modest monthly budget (local-first design)</t>
  </si>
  <si>
    <t>B4</t>
  </si>
  <si>
    <t>Build a plugin ecosystem so strategies, data sources and brokers can be added without touching the core</t>
  </si>
  <si>
    <t>Value Proposition</t>
  </si>
  <si>
    <t>Core</t>
  </si>
  <si>
    <t>A risk-first trading cockpit: every trade idea is generated, validated, sized and journaled inside one auditable system</t>
  </si>
  <si>
    <t>Differentiator 1</t>
  </si>
  <si>
    <t>Non-indicator strategy library (market structure, order flow, auction theory) with codified entry/exit/risk rules</t>
  </si>
  <si>
    <t>Differentiator 2</t>
  </si>
  <si>
    <t>Explainable AI assistant - every recommendation ships with its reasoning, inputs and confidence score</t>
  </si>
  <si>
    <t>Differentiator 3</t>
  </si>
  <si>
    <t>Broker-agnostic abstraction layer - switch or combine brokers without changing workflows</t>
  </si>
  <si>
    <t>Functional Req. Summary</t>
  </si>
  <si>
    <t>FR Overview</t>
  </si>
  <si>
    <t>Auth &amp; profiles; broker connect; live market data; watchlists; order lifecycle; positions &amp; portfolio; strategy engine; backtesting; paper trading; alerts; AI briefings; journaling; admin panel</t>
  </si>
  <si>
    <t>Non-Functional Req. Summary</t>
  </si>
  <si>
    <t>NFR Overview</t>
  </si>
  <si>
    <t>Order round-trip &lt; 150 ms internal overhead; UI 60 fps under streaming load; 99.5% session availability during market hours; AES-256 credential storage; full audit trail; horizontal-ready service design</t>
  </si>
  <si>
    <t>Roadmap Summary</t>
  </si>
  <si>
    <t>Phase 0-1</t>
  </si>
  <si>
    <t>Foundation + market data + watchlists (MVP core)</t>
  </si>
  <si>
    <t>Phase 2-3</t>
  </si>
  <si>
    <t>Order management, risk engine, single-broker live trading</t>
  </si>
  <si>
    <t>Phase 4-5</t>
  </si>
  <si>
    <t>Strategy framework, backtesting, AI assistant, multi-broker</t>
  </si>
  <si>
    <t>Phase 6+</t>
  </si>
  <si>
    <t>Enterprise features: multi-user, RBAC, plugin SDK, mobile companion</t>
  </si>
  <si>
    <t>Req ID</t>
  </si>
  <si>
    <t>Type</t>
  </si>
  <si>
    <t>Module</t>
  </si>
  <si>
    <t>Requirement</t>
  </si>
  <si>
    <t>Priority (MoSCoW)</t>
  </si>
  <si>
    <t>Acceptance Criteria</t>
  </si>
  <si>
    <t>Phase</t>
  </si>
  <si>
    <t>Status</t>
  </si>
  <si>
    <t>FR-001</t>
  </si>
  <si>
    <t>Functional</t>
  </si>
  <si>
    <t>Auth</t>
  </si>
  <si>
    <t>User can register, log in and manage a local profile with optional 2FA (TOTP)</t>
  </si>
  <si>
    <t>Must</t>
  </si>
  <si>
    <t>Login succeeds/fails correctly; TOTP verified; lockout after 5 failed attempts</t>
  </si>
  <si>
    <t>1</t>
  </si>
  <si>
    <t>Planned</t>
  </si>
  <si>
    <t>FR-002</t>
  </si>
  <si>
    <t>Broker</t>
  </si>
  <si>
    <t>User can connect one or more broker accounts via API keys / OAuth</t>
  </si>
  <si>
    <t>Token exchange completes; keys stored encrypted; connection health visible</t>
  </si>
  <si>
    <t>2</t>
  </si>
  <si>
    <t>FR-003</t>
  </si>
  <si>
    <t>Market Data</t>
  </si>
  <si>
    <t>Stream live quotes (LTP, depth, OHLC) for subscribed instruments via WebSocket</t>
  </si>
  <si>
    <t>Ticks render &lt; 250 ms end-to-end; auto-reconnect on drop within 5 s</t>
  </si>
  <si>
    <t>FR-004</t>
  </si>
  <si>
    <t>Watchlist</t>
  </si>
  <si>
    <t>Create, sort, group and colour-tag multiple watchlists with per-symbol notes</t>
  </si>
  <si>
    <t>CRUD persists across restart; drag-reorder works; 500 symbols supported</t>
  </si>
  <si>
    <t>FR-005</t>
  </si>
  <si>
    <t>Orders</t>
  </si>
  <si>
    <t>Place, modify, cancel MARKET/LIMIT/SL/SL-M orders with a confirmation dialog</t>
  </si>
  <si>
    <t>Order state machine matches broker state; every transition journaled</t>
  </si>
  <si>
    <t>FR-006</t>
  </si>
  <si>
    <t>Bracket-style exits: attach target and stop to any entry (synthetic OCO if broker lacks native)</t>
  </si>
  <si>
    <t>Should</t>
  </si>
  <si>
    <t>Filling one leg cancels the other within 1 s</t>
  </si>
  <si>
    <t>3</t>
  </si>
  <si>
    <t>FR-007</t>
  </si>
  <si>
    <t>Positions</t>
  </si>
  <si>
    <t>Real-time positions with MTM P&amp;L, average price, exposure and day/net split</t>
  </si>
  <si>
    <t>P&amp;L matches broker statement within rounding at EOD</t>
  </si>
  <si>
    <t>FR-008</t>
  </si>
  <si>
    <t>Portfolio</t>
  </si>
  <si>
    <t>Holdings view with allocation, sector weights, dividend log and XIRR</t>
  </si>
  <si>
    <t>XIRR matches reference calc within 0.1%</t>
  </si>
  <si>
    <t>FR-009</t>
  </si>
  <si>
    <t>Risk</t>
  </si>
  <si>
    <t>Pre-trade validation: position size, max exposure, daily loss limit, margin check</t>
  </si>
  <si>
    <t>Order violating any hard limit is blocked with an explicit reason</t>
  </si>
  <si>
    <t>FR-010</t>
  </si>
  <si>
    <t>Kill switch: one action flattens all positions and blocks new orders for the session</t>
  </si>
  <si>
    <t>All open orders cancelled and positions squared (best-effort) &lt; 5 s</t>
  </si>
  <si>
    <t>FR-011</t>
  </si>
  <si>
    <t>Strategy</t>
  </si>
  <si>
    <t>Define rule-based strategies (setups, triggers, invalidations) from the non-indicator library</t>
  </si>
  <si>
    <t>A strategy definition validates, saves, and produces signals in replay mode</t>
  </si>
  <si>
    <t>4</t>
  </si>
  <si>
    <t>FR-012</t>
  </si>
  <si>
    <t>Backtest</t>
  </si>
  <si>
    <t>Event-driven backtester with slippage, costs, and walk-forward splits</t>
  </si>
  <si>
    <t>Same strategy gives identical results across two runs (deterministic seed)</t>
  </si>
  <si>
    <t>FR-013</t>
  </si>
  <si>
    <t>Paper Trading</t>
  </si>
  <si>
    <t>Full order lifecycle against live data without real execution</t>
  </si>
  <si>
    <t>Paper fills follow best bid/ask with configurable slippage model</t>
  </si>
  <si>
    <t>FR-014</t>
  </si>
  <si>
    <t>Alerts</t>
  </si>
  <si>
    <t>Price, structure-level (breakout of range/level) and news alerts to desktop + optional Telegram</t>
  </si>
  <si>
    <t>Alert fires once per trigger with &lt; 2 s latency; snooze/ack supported</t>
  </si>
  <si>
    <t>FR-015</t>
  </si>
  <si>
    <t>AI Assistant</t>
  </si>
  <si>
    <t>Daily market briefing: index structure, key levels, events, watchlist highlights</t>
  </si>
  <si>
    <t>Briefing generated pre-open; every claim links to underlying data</t>
  </si>
  <si>
    <t>5</t>
  </si>
  <si>
    <t>FR-016</t>
  </si>
  <si>
    <t>Trade validation: score a proposed trade against strategy rules, risk limits and context</t>
  </si>
  <si>
    <t>Score + rationale + violated rules returned &lt; 5 s</t>
  </si>
  <si>
    <t>FR-017</t>
  </si>
  <si>
    <t>Journal</t>
  </si>
  <si>
    <t>Auto-journal every order/trade with screenshots of chart state and user notes</t>
  </si>
  <si>
    <t>Every fill creates a journal entry; entries searchable and exportable</t>
  </si>
  <si>
    <t>FR-018</t>
  </si>
  <si>
    <t>Research</t>
  </si>
  <si>
    <t>Fundamental snapshot: financials, ratios, shareholding, corporate actions, earnings calendar</t>
  </si>
  <si>
    <t>Could</t>
  </si>
  <si>
    <t>Data refreshes daily; source and as-of date displayed on every figure</t>
  </si>
  <si>
    <t>FR-019</t>
  </si>
  <si>
    <t>Admin</t>
  </si>
  <si>
    <t>Admin panel: users, roles, limits, broker credentials, audit log viewer</t>
  </si>
  <si>
    <t>Role changes take effect on next action; audit log immutable</t>
  </si>
  <si>
    <t>6</t>
  </si>
  <si>
    <t>FR-020</t>
  </si>
  <si>
    <t>Settings</t>
  </si>
  <si>
    <t>Theme (light/dark), layout persistence, hotkeys, data source configuration</t>
  </si>
  <si>
    <t>Workspace layout restores exactly after restart</t>
  </si>
  <si>
    <t>NFR-001</t>
  </si>
  <si>
    <t>Non-Functional</t>
  </si>
  <si>
    <t>Performance</t>
  </si>
  <si>
    <t>Internal order handling overhead (UI action to broker API call) &lt; 150 ms p95</t>
  </si>
  <si>
    <t>Measured by tracing harness across 1,000 simulated orders</t>
  </si>
  <si>
    <t>NFR-002</t>
  </si>
  <si>
    <t>UI remains responsive (no frame &gt; 100 ms) with 300 streaming symbols</t>
  </si>
  <si>
    <t>Frame-time telemetry under synthetic tick storm</t>
  </si>
  <si>
    <t>NFR-003</t>
  </si>
  <si>
    <t>Reliability</t>
  </si>
  <si>
    <t>Automatic recovery of market data and order state after network drop</t>
  </si>
  <si>
    <t>State reconciled with broker within 10 s of reconnect</t>
  </si>
  <si>
    <t>NFR-004</t>
  </si>
  <si>
    <t>Security</t>
  </si>
  <si>
    <t>Broker credentials encrypted at rest (AES-256-GCM) via OS keyring-wrapped master key</t>
  </si>
  <si>
    <t>Secrets never appear in logs, config files or crash dumps</t>
  </si>
  <si>
    <t>NFR-005</t>
  </si>
  <si>
    <t>Role-based access control for multi-user deployments</t>
  </si>
  <si>
    <t>Unauthorized action returns 403 and is audit-logged</t>
  </si>
  <si>
    <t>NFR-006</t>
  </si>
  <si>
    <t>Auditability</t>
  </si>
  <si>
    <t>Every order, risk decision and AI recommendation written to append-only audit log</t>
  </si>
  <si>
    <t>Log entries hash-chained; tamper detectable</t>
  </si>
  <si>
    <t>NFR-007</t>
  </si>
  <si>
    <t>Scalability</t>
  </si>
  <si>
    <t>Core services communicate via internal event bus; each service extractable to a process/container</t>
  </si>
  <si>
    <t>One service (market data) runs as a separate process in a demo deployment</t>
  </si>
  <si>
    <t>NFR-008</t>
  </si>
  <si>
    <t>Testability</t>
  </si>
  <si>
    <t>Trading engine &gt;= 90% branch coverage; deterministic simulation harness</t>
  </si>
  <si>
    <t>CI gate fails below threshold</t>
  </si>
  <si>
    <t>NFR-009</t>
  </si>
  <si>
    <t>Portability</t>
  </si>
  <si>
    <t>Runs on Windows and Linux from a single codebase; Docker for services</t>
  </si>
  <si>
    <t>CI builds and smoke-tests both platforms</t>
  </si>
  <si>
    <t>NFR-010</t>
  </si>
  <si>
    <t>Maintainability</t>
  </si>
  <si>
    <t>Clean Architecture layering enforced by import-linter contracts</t>
  </si>
  <si>
    <t>CI fails on any inward-dependency violation</t>
  </si>
  <si>
    <t>Feature / Capability</t>
  </si>
  <si>
    <t>Depends On (hard)</t>
  </si>
  <si>
    <t>Soft Dependencies</t>
  </si>
  <si>
    <t>Priority</t>
  </si>
  <si>
    <t>Dependency Notes / Build Order Impact</t>
  </si>
  <si>
    <t>Instrument Master</t>
  </si>
  <si>
    <t>-</t>
  </si>
  <si>
    <t>P0</t>
  </si>
  <si>
    <t>Root dependency: nearly everything resolves symbols through it - build first</t>
  </si>
  <si>
    <t>Market Data Engine</t>
  </si>
  <si>
    <t>Feeds UI, strategies, alerts, AI, backtest recorder</t>
  </si>
  <si>
    <t>Workspace Shell &amp; Themes</t>
  </si>
  <si>
    <t>Parallel-buildable with data engine (no dependency)</t>
  </si>
  <si>
    <t>Watchlists</t>
  </si>
  <si>
    <t>Instrument Master, Market Data</t>
  </si>
  <si>
    <t>Workspace Shell</t>
  </si>
  <si>
    <t>First user-visible integration of data + UI</t>
  </si>
  <si>
    <t>Order Management (OMS)</t>
  </si>
  <si>
    <t>Market Data (for validation prices)</t>
  </si>
  <si>
    <t>State machine testable without live data via fixtures</t>
  </si>
  <si>
    <t>Risk Engine</t>
  </si>
  <si>
    <t>OMS, Positions</t>
  </si>
  <si>
    <t>Portfolio (for exposure)</t>
  </si>
  <si>
    <t>Pre-trade rules need order context; heat model needs positions</t>
  </si>
  <si>
    <t>Broker Adapters (live)</t>
  </si>
  <si>
    <t>OMS, Risk Engine</t>
  </si>
  <si>
    <t>P1</t>
  </si>
  <si>
    <t>Never ship a live adapter before risk engine gates orders</t>
  </si>
  <si>
    <t>Positions &amp; MTM</t>
  </si>
  <si>
    <t>OMS (fills), Market Data</t>
  </si>
  <si>
    <t>Rebuilt from trades; MTM needs ticks</t>
  </si>
  <si>
    <t>Portfolio &amp; Holdings</t>
  </si>
  <si>
    <t>Dividend data</t>
  </si>
  <si>
    <t>XIRR needs full trade history</t>
  </si>
  <si>
    <t>Level engine (charts)</t>
  </si>
  <si>
    <t>Level alerts depend on structure detection</t>
  </si>
  <si>
    <t>Trade Journal</t>
  </si>
  <si>
    <t>OMS (fills)</t>
  </si>
  <si>
    <t>Charts (snapshots)</t>
  </si>
  <si>
    <t>Auto-entries triggered by fill events</t>
  </si>
  <si>
    <t>Charts &amp; Structure Engine</t>
  </si>
  <si>
    <t>Market Data, OHLC store</t>
  </si>
  <si>
    <t>Structure engine (swings/levels) also feeds strategies + AI</t>
  </si>
  <si>
    <t>Strategy Framework</t>
  </si>
  <si>
    <t>Market Data, Structure Engine</t>
  </si>
  <si>
    <t>OMS (paper routing)</t>
  </si>
  <si>
    <t>Signals must flow to paper before live</t>
  </si>
  <si>
    <t>Backtester</t>
  </si>
  <si>
    <t>OHLC store, Strategy Framework, Cost model</t>
  </si>
  <si>
    <t>Deterministic engine gates strategy promotion</t>
  </si>
  <si>
    <t>AI Market Analyst</t>
  </si>
  <si>
    <t>Market Data, Structure Engine, Calendar/News</t>
  </si>
  <si>
    <t>P2</t>
  </si>
  <si>
    <t>Narrates only verified pipeline outputs</t>
  </si>
  <si>
    <t>AI Trade Assistant</t>
  </si>
  <si>
    <t>Strategy Framework, Risk Engine, AI Analyst</t>
  </si>
  <si>
    <t>Journal (outcomes)</t>
  </si>
  <si>
    <t>Validation reuses risk verdicts; scoring needs journal history</t>
  </si>
  <si>
    <t>AI Portfolio Manager</t>
  </si>
  <si>
    <t>Portfolio, Risk Engine</t>
  </si>
  <si>
    <t>Correlation job</t>
  </si>
  <si>
    <t>Heat/exposure analytics from risk engine</t>
  </si>
  <si>
    <t>AI Research Assistant</t>
  </si>
  <si>
    <t>Fundamentals data, News feed</t>
  </si>
  <si>
    <t>Calendar</t>
  </si>
  <si>
    <t>Independent of trading path - parallel-buildable</t>
  </si>
  <si>
    <t>Scanner</t>
  </si>
  <si>
    <t>Market Data, Instrument Master</t>
  </si>
  <si>
    <t>Strategy Framework (setup scans)</t>
  </si>
  <si>
    <t>Setup-based scans reuse strategy rule evaluators</t>
  </si>
  <si>
    <t>Analytics &amp; Reporting</t>
  </si>
  <si>
    <t>Journal, Portfolio, Backtester</t>
  </si>
  <si>
    <t>Aggregates all downstream data</t>
  </si>
  <si>
    <t>Notifications (Telegram/desktop)</t>
  </si>
  <si>
    <t>Alerts, Risk Engine, System health</t>
  </si>
  <si>
    <t>Single delivery service consumed by many producers</t>
  </si>
  <si>
    <t>Scheduler</t>
  </si>
  <si>
    <t>All batch jobs</t>
  </si>
  <si>
    <t>ETL, EOD square-off, stress tests, backups all hang off it</t>
  </si>
  <si>
    <t>Admin Panel &amp; RBAC</t>
  </si>
  <si>
    <t>Identity</t>
  </si>
  <si>
    <t>Audit log</t>
  </si>
  <si>
    <t>P3</t>
  </si>
  <si>
    <t>Enterprise edition prerequisite</t>
  </si>
  <si>
    <t>Plugin Manager</t>
  </si>
  <si>
    <t>Stable ports (Broker/Data/Strategy)</t>
  </si>
  <si>
    <t>License service</t>
  </si>
  <si>
    <t>Requires frozen v2 interface contracts first</t>
  </si>
  <si>
    <t>NOTES: Priority: P0 = foundation (nothing ships without it), P1 = live-trading critical path, P2 = differentiators, P3 = enterprise/ecosystem. A feature may not enter a sprint before all hard dependencies are Done or stubbed behind its port interface.</t>
  </si>
  <si>
    <t>Milestone</t>
  </si>
  <si>
    <t>Description</t>
  </si>
  <si>
    <t>Key Deliverables</t>
  </si>
  <si>
    <t>Duration (wks)</t>
  </si>
  <si>
    <t>Depends On</t>
  </si>
  <si>
    <t>Target Window</t>
  </si>
  <si>
    <t>0</t>
  </si>
  <si>
    <t>Project Foundation</t>
  </si>
  <si>
    <t>Repo, tooling, CI, architecture skeleton, coding standards, ADR process</t>
  </si>
  <si>
    <t>Git repo; CI pipeline; layered skeleton; import-linter contracts; ADR-0001..0005</t>
  </si>
  <si>
    <t>Month 1</t>
  </si>
  <si>
    <t>Market Data &amp; Workspace MVP</t>
  </si>
  <si>
    <t>Data engine, instrument master, live streaming, watchlists, base UI shell with docking and themes</t>
  </si>
  <si>
    <t>Data service; WebSocket client; watchlist module; workspace shell; settings</t>
  </si>
  <si>
    <t>Phase 0</t>
  </si>
  <si>
    <t>Months 1-2</t>
  </si>
  <si>
    <t>Order &amp; Risk Core</t>
  </si>
  <si>
    <t>Order state machine, broker abstraction, pre-trade risk engine, audit log, paper-trading fills</t>
  </si>
  <si>
    <t>OMS; risk engine v1; broker adapter #1 (paper); audit trail</t>
  </si>
  <si>
    <t>Phase 1</t>
  </si>
  <si>
    <t>Months 3-4</t>
  </si>
  <si>
    <t>Live Trading (Single Broker)</t>
  </si>
  <si>
    <t>First live broker adapter, positions/portfolio, bracket exits, kill switch, alerts, journal</t>
  </si>
  <si>
    <t>Live adapter (Zerodha); portfolio module; kill switch; alert service; journal</t>
  </si>
  <si>
    <t>Phase 2</t>
  </si>
  <si>
    <t>Months 4-5</t>
  </si>
  <si>
    <t>Strategy &amp; Backtesting</t>
  </si>
  <si>
    <t>Strategy DSL, non-indicator strategy library v1, event-driven backtester, replay mode</t>
  </si>
  <si>
    <t>Strategy framework; 8+ codified strategies; backtester; walk-forward reports</t>
  </si>
  <si>
    <t>Months 5-7</t>
  </si>
  <si>
    <t>AI Assistant &amp; Research</t>
  </si>
  <si>
    <t>Briefings, trade validation/scoring, news summarisation, fundamentals module, multi-broker</t>
  </si>
  <si>
    <t>AI service; explainability layer; research screens; broker adapters #2-#3</t>
  </si>
  <si>
    <t>Phases 3-4</t>
  </si>
  <si>
    <t>Months 7-9</t>
  </si>
  <si>
    <t>Enterprise Hardening</t>
  </si>
  <si>
    <t>Multi-user + RBAC, admin panel, plugin SDK, monitoring, packaging, disaster recovery drills</t>
  </si>
  <si>
    <t>RBAC; admin panel; plugin SDK v0; Grafana dashboards; installer; DR runbook</t>
  </si>
  <si>
    <t>Phase 5</t>
  </si>
  <si>
    <t>Months 9-11</t>
  </si>
  <si>
    <t>NOTES: Priority matrix: Must = Phases 0-3 blockers for live trading; Should = Phases 4-5; Could = Phase 6+. Timelines assume 1-2 developers; scale durations accordingly.</t>
  </si>
  <si>
    <t>Version</t>
  </si>
  <si>
    <t>Theme</t>
  </si>
  <si>
    <t>Timeframe</t>
  </si>
  <si>
    <t>Major Capabilities</t>
  </si>
  <si>
    <t>Success Criteria</t>
  </si>
  <si>
    <t>Prerequisites</t>
  </si>
  <si>
    <t>v1.0</t>
  </si>
  <si>
    <t>Trading Core</t>
  </si>
  <si>
    <t>Months 0-9</t>
  </si>
  <si>
    <t>Live single→multi-broker trading, OMS, risk engine, kill switch, watchlists, charts w/ structure engine, journal, backtester, strategies v1, AI briefing + validation</t>
  </si>
  <si>
    <t>Daily-driver for own live trading; zero Critical incidents over 30 sessions</t>
  </si>
  <si>
    <t>v1.5</t>
  </si>
  <si>
    <t>AI Assistant (full) + Hardening</t>
  </si>
  <si>
    <t>Months 9-14</t>
  </si>
  <si>
    <t>All four AI assistants complete (Analyst/Trade/Portfolio/Research), feedback-calibrated scoring, RBAC, admin panel, monitoring stack, installers, LTS process starts</t>
  </si>
  <si>
    <t>AI validation used on &gt; 60% of trades; enterprise pilot desk onboarded</t>
  </si>
  <si>
    <t>v1.0 journal corpus for scoring models</t>
  </si>
  <si>
    <t>v2.0</t>
  </si>
  <si>
    <t>Multi-Broker &amp; Extensibility</t>
  </si>
  <si>
    <t>Months 14-20</t>
  </si>
  <si>
    <t>Broker adapters 4-6 (Fyers, Dhan), execution failover UX, Plugin SDK frozen (scanner/broker/strategy/news/analytics ports), web client (read + basic ops), alternative-data connectors</t>
  </si>
  <si>
    <t>3rd-party plugin runs in production; web client daily-usable</t>
  </si>
  <si>
    <t>Port interfaces stable; license service</t>
  </si>
  <si>
    <t>v2.5</t>
  </si>
  <si>
    <t>Portfolio &amp; Options Analytics</t>
  </si>
  <si>
    <t>Months 20-28</t>
  </si>
  <si>
    <t>Options module (chains, greeks, payoff, expiry playbooks), portfolio optimizer under heat constraints, scenario engine v2, conversational analytics over own data, cloud backtest farm</t>
  </si>
  <si>
    <t>Options traders adopt dedicated workspace; research sweep time 10x faster</t>
  </si>
  <si>
    <t>Derivatives data contracts; v2.0 plugin economy</t>
  </si>
  <si>
    <t>v3.0</t>
  </si>
  <si>
    <t>Strategy Marketplace</t>
  </si>
  <si>
    <t>Months 28-38</t>
  </si>
  <si>
    <t>Signed plugin marketplace with revenue share, strategy performance verification service (audited track records), community playbook hub, creator tooling</t>
  </si>
  <si>
    <t>50+ verified marketplace items; first creator payouts</t>
  </si>
  <si>
    <t>Marketplace infra, legal/licensing review</t>
  </si>
  <si>
    <t>v4.0</t>
  </si>
  <si>
    <t>Mobile Platform</t>
  </si>
  <si>
    <t>Months 38-48</t>
  </si>
  <si>
    <t>Full mobile apps: monitoring, alerts, kill switch, approve-validated-signals flow, portfolio review; tablet chart mode</t>
  </si>
  <si>
    <t>Mobile kill switch + approvals used in the wild; parity for monitoring</t>
  </si>
  <si>
    <t>Mature FastAPI layer; push infrastructure</t>
  </si>
  <si>
    <t>v5.0</t>
  </si>
  <si>
    <t>Cloud Enterprise Edition</t>
  </si>
  <si>
    <t>Months 48-60</t>
  </si>
  <si>
    <t>Managed multi-tenant cloud deployment, SSO/SAML, desk-level risk aggregation dashboards, compliance export packs, SLA-backed hosting, global brokers (IBKR/Alpaca) GA</t>
  </si>
  <si>
    <t>First multi-seat enterprise contracts on cloud edition; SLO adherence ≥ 99.9% market hours</t>
  </si>
  <si>
    <t>SOC2-style controls; hosting ops maturity</t>
  </si>
  <si>
    <t>NOTES: Future Enhancements sheet items map into these versions (FE column 'Earliest Version'). Themes are commitments; capability lists are direction, re-planned at each major release retrospective.</t>
  </si>
  <si>
    <t>Sprint</t>
  </si>
  <si>
    <t>Weeks</t>
  </si>
  <si>
    <t>Sprint Goal</t>
  </si>
  <si>
    <t>Key Epics / Items</t>
  </si>
  <si>
    <t>Planned Pts</t>
  </si>
  <si>
    <t>Completed Pts</t>
  </si>
  <si>
    <t>Completion %</t>
  </si>
  <si>
    <t>S01</t>
  </si>
  <si>
    <t>W1-2</t>
  </si>
  <si>
    <t>Development foundation ready</t>
  </si>
  <si>
    <t>EP-01 Repo &amp; CI; coding standards; architecture skeleton</t>
  </si>
  <si>
    <t>S02</t>
  </si>
  <si>
    <t>W3-4</t>
  </si>
  <si>
    <t>Instrument master + data engine core</t>
  </si>
  <si>
    <t>EP-02 Data engine; symbol master ETL; storage layer</t>
  </si>
  <si>
    <t>S03</t>
  </si>
  <si>
    <t>W5-6</t>
  </si>
  <si>
    <t>Live streaming into UI shell</t>
  </si>
  <si>
    <t>EP-02 WebSocket client; EP-03 workspace shell; tick pipeline</t>
  </si>
  <si>
    <t>S04</t>
  </si>
  <si>
    <t>W7-8</t>
  </si>
  <si>
    <t>Watchlists + settings + themes</t>
  </si>
  <si>
    <t>EP-03 Watchlist module; layout persistence; light/dark themes</t>
  </si>
  <si>
    <t>S05</t>
  </si>
  <si>
    <t>W9-10</t>
  </si>
  <si>
    <t>Order state machine + broker abstraction</t>
  </si>
  <si>
    <t>EP-04 OMS core; adapter interface; paper fill engine</t>
  </si>
  <si>
    <t>S06</t>
  </si>
  <si>
    <t>W11-12</t>
  </si>
  <si>
    <t>Pre-trade risk engine + audit log</t>
  </si>
  <si>
    <t>EP-05 Risk rules v1; margin calc; hash-chained audit trail</t>
  </si>
  <si>
    <t>S07</t>
  </si>
  <si>
    <t>W13-14</t>
  </si>
  <si>
    <t>Live broker adapter #1 (sandbox)</t>
  </si>
  <si>
    <t>EP-06 Zerodha adapter; auth; order routing; reconciliation</t>
  </si>
  <si>
    <t>S08</t>
  </si>
  <si>
    <t>W15-16</t>
  </si>
  <si>
    <t>Positions, portfolio, kill switch</t>
  </si>
  <si>
    <t>EP-07 Positions MTM; holdings; kill switch; EOD reconciliation</t>
  </si>
  <si>
    <t>S09</t>
  </si>
  <si>
    <t>W17-18</t>
  </si>
  <si>
    <t>Alerts + trade journal</t>
  </si>
  <si>
    <t>EP-08 Alert service; Telegram channel; auto-journal on fills</t>
  </si>
  <si>
    <t>S10</t>
  </si>
  <si>
    <t>W19-20</t>
  </si>
  <si>
    <t>Strategy DSL + first 4 strategies</t>
  </si>
  <si>
    <t>EP-09 Strategy framework; ORB, market-structure, gap, breakout</t>
  </si>
  <si>
    <t>S11</t>
  </si>
  <si>
    <t>W21-22</t>
  </si>
  <si>
    <t>Backtester + replay mode</t>
  </si>
  <si>
    <t>EP-10 Event-driven backtester; costs/slippage; walk-forward</t>
  </si>
  <si>
    <t>S12</t>
  </si>
  <si>
    <t>W23-24</t>
  </si>
  <si>
    <t>AI assistant v0 (briefing + validation)</t>
  </si>
  <si>
    <t>EP-11 AI service; explainability schema; trade scoring</t>
  </si>
  <si>
    <t>NOTES: Story points use a Fibonacci scale. 'Completed Pts' is a user input (blue); Completion % is calculated. Extend rows for later sprints as planning firms up.</t>
  </si>
  <si>
    <t>Feature ID</t>
  </si>
  <si>
    <t>Epic</t>
  </si>
  <si>
    <t>Feature</t>
  </si>
  <si>
    <t>Owner</t>
  </si>
  <si>
    <t>Notes</t>
  </si>
  <si>
    <t>FT-001</t>
  </si>
  <si>
    <t>EP-01 Foundation</t>
  </si>
  <si>
    <t>Project skeleton with Clean Architecture layers</t>
  </si>
  <si>
    <t>core</t>
  </si>
  <si>
    <t>Ravi</t>
  </si>
  <si>
    <t>domain / application / infrastructure / presentation</t>
  </si>
  <si>
    <t>FT-002</t>
  </si>
  <si>
    <t>CI pipeline: lint, type-check, tests, build</t>
  </si>
  <si>
    <t>devops</t>
  </si>
  <si>
    <t>GitHub Actions; ruff + mypy + pytest</t>
  </si>
  <si>
    <t>FT-003</t>
  </si>
  <si>
    <t>EP-02 Data Engine</t>
  </si>
  <si>
    <t>Instrument master with daily refresh ETL</t>
  </si>
  <si>
    <t>market_data</t>
  </si>
  <si>
    <t>NSE/BSE symbol files; corporate action adjust</t>
  </si>
  <si>
    <t>FT-004</t>
  </si>
  <si>
    <t>WebSocket streaming client with auto-reconnect</t>
  </si>
  <si>
    <t>Backoff + resubscribe; heartbeat monitor</t>
  </si>
  <si>
    <t>FT-005</t>
  </si>
  <si>
    <t>Historical OHLC store (minute + daily)</t>
  </si>
  <si>
    <t>Parquet/DuckDB local store</t>
  </si>
  <si>
    <t>FT-006</t>
  </si>
  <si>
    <t>EP-03 Workspace</t>
  </si>
  <si>
    <t>Dockable multi-panel workspace shell</t>
  </si>
  <si>
    <t>ui</t>
  </si>
  <si>
    <t>Save/restore layouts per profile</t>
  </si>
  <si>
    <t>FT-007</t>
  </si>
  <si>
    <t>Watchlist module with groups, tags, notes</t>
  </si>
  <si>
    <t>Column chooser; conditional colouring</t>
  </si>
  <si>
    <t>FT-008</t>
  </si>
  <si>
    <t>Theme system (light/dark) + hotkeys</t>
  </si>
  <si>
    <t>Design tokens; user-remappable keys</t>
  </si>
  <si>
    <t>FT-009</t>
  </si>
  <si>
    <t>EP-04 OMS</t>
  </si>
  <si>
    <t>Order state machine with full lifecycle</t>
  </si>
  <si>
    <t>trading</t>
  </si>
  <si>
    <t>NEW→VALIDATED→SENT→ACK→PARTIAL→FILLED/REJECTED/CANCELLED</t>
  </si>
  <si>
    <t>FT-010</t>
  </si>
  <si>
    <t>Broker adapter interface (ports &amp; adapters)</t>
  </si>
  <si>
    <t>brokers</t>
  </si>
  <si>
    <t>One abstract port; per-broker adapters</t>
  </si>
  <si>
    <t>FT-011</t>
  </si>
  <si>
    <t>EP-05 Risk</t>
  </si>
  <si>
    <t>Pre-trade risk rule engine</t>
  </si>
  <si>
    <t>risk</t>
  </si>
  <si>
    <t>Composable rules; hard vs soft limits</t>
  </si>
  <si>
    <t>FT-012</t>
  </si>
  <si>
    <t>Hash-chained audit log</t>
  </si>
  <si>
    <t>Append-only SQLite/Postgres table</t>
  </si>
  <si>
    <t>FT-013</t>
  </si>
  <si>
    <t>EP-06 Live Broker</t>
  </si>
  <si>
    <t>Zerodha Kite adapter (auth, orders, streams)</t>
  </si>
  <si>
    <t>Sandbox first; reconciliation job</t>
  </si>
  <si>
    <t>FT-014</t>
  </si>
  <si>
    <t>EP-07 Portfolio</t>
  </si>
  <si>
    <t>Positions MTM + holdings + XIRR</t>
  </si>
  <si>
    <t>portfolio</t>
  </si>
  <si>
    <t>Dividend log import from existing dashboard</t>
  </si>
  <si>
    <t>FT-015</t>
  </si>
  <si>
    <t>Kill switch (flatten + block)</t>
  </si>
  <si>
    <t>Requires typed confirmation</t>
  </si>
  <si>
    <t>FT-016</t>
  </si>
  <si>
    <t>EP-08 Alerts</t>
  </si>
  <si>
    <t>Alert engine (price, level, news) + Telegram</t>
  </si>
  <si>
    <t>alerts</t>
  </si>
  <si>
    <t>Dedup + snooze</t>
  </si>
  <si>
    <t>FT-017</t>
  </si>
  <si>
    <t>Trade journal with auto-capture</t>
  </si>
  <si>
    <t>journal</t>
  </si>
  <si>
    <t>Chart snapshot + tags + review workflow</t>
  </si>
  <si>
    <t>FT-018</t>
  </si>
  <si>
    <t>EP-09 Strategy</t>
  </si>
  <si>
    <t>Strategy definition framework (rules DSL)</t>
  </si>
  <si>
    <t>strategy</t>
  </si>
  <si>
    <t>YAML/JSON schema + validators</t>
  </si>
  <si>
    <t>FT-019</t>
  </si>
  <si>
    <t>Non-indicator strategy library v1 (8 strategies)</t>
  </si>
  <si>
    <t>See Strategy Library sheet</t>
  </si>
  <si>
    <t>FT-020</t>
  </si>
  <si>
    <t>EP-10 Backtest</t>
  </si>
  <si>
    <t>Event-driven backtester with costs model</t>
  </si>
  <si>
    <t>backtest</t>
  </si>
  <si>
    <t>Brokerage, STT, slippage models (India)</t>
  </si>
  <si>
    <t>FT-021</t>
  </si>
  <si>
    <t>Market replay mode</t>
  </si>
  <si>
    <t>Tick/minute replay into live UI</t>
  </si>
  <si>
    <t>FT-022</t>
  </si>
  <si>
    <t>EP-11 AI</t>
  </si>
  <si>
    <t>Daily market briefing generator</t>
  </si>
  <si>
    <t>ai_assistant</t>
  </si>
  <si>
    <t>Template + data-grounded claims</t>
  </si>
  <si>
    <t>FT-023</t>
  </si>
  <si>
    <t>Trade validation &amp; confidence scoring</t>
  </si>
  <si>
    <t>Rule engine + LLM rationale</t>
  </si>
  <si>
    <t>FT-024</t>
  </si>
  <si>
    <t>EP-12 Enterprise</t>
  </si>
  <si>
    <t>RBAC + admin panel</t>
  </si>
  <si>
    <t>admin</t>
  </si>
  <si>
    <t>S13+</t>
  </si>
  <si>
    <t>Backlog</t>
  </si>
  <si>
    <t>Multi-user deployments</t>
  </si>
  <si>
    <t>FT-025</t>
  </si>
  <si>
    <t>Plugin SDK (strategies, data, brokers)</t>
  </si>
  <si>
    <t>plugins</t>
  </si>
  <si>
    <t>S14+</t>
  </si>
  <si>
    <t>Entry-point based discovery</t>
  </si>
  <si>
    <t>Task ID</t>
  </si>
  <si>
    <t>Task</t>
  </si>
  <si>
    <t>Subtask</t>
  </si>
  <si>
    <t>Est (hrs)</t>
  </si>
  <si>
    <t>Assignee</t>
  </si>
  <si>
    <t>T-0001</t>
  </si>
  <si>
    <t>EP-01</t>
  </si>
  <si>
    <t>Create repository &amp; tooling</t>
  </si>
  <si>
    <t>Init repo, .gitignore, pyproject.toml, ruff, mypy, pre-commit</t>
  </si>
  <si>
    <t>T-0002</t>
  </si>
  <si>
    <t>Create layered package skeleton</t>
  </si>
  <si>
    <t>domain/, application/, infrastructure/, presentation/ with __init__ docs</t>
  </si>
  <si>
    <t>T-0003</t>
  </si>
  <si>
    <t>Enforce architecture</t>
  </si>
  <si>
    <t>Configure import-linter contracts (inward-only deps)</t>
  </si>
  <si>
    <t>T-0004</t>
  </si>
  <si>
    <t>CI pipeline</t>
  </si>
  <si>
    <t>GitHub Actions: lint → type-check → tests → build artefact</t>
  </si>
  <si>
    <t>T-0005</t>
  </si>
  <si>
    <t>ADR process</t>
  </si>
  <si>
    <t>ADR template + ADR-0001 architecture style decision</t>
  </si>
  <si>
    <t>T-0006</t>
  </si>
  <si>
    <t>EP-02</t>
  </si>
  <si>
    <t>Instrument master schema</t>
  </si>
  <si>
    <t>instruments table + dataclass + repository</t>
  </si>
  <si>
    <t>T-0007</t>
  </si>
  <si>
    <t>Symbol ETL job</t>
  </si>
  <si>
    <t>Download, parse, validate NSE/BSE instrument files; upsert</t>
  </si>
  <si>
    <t>T-0008</t>
  </si>
  <si>
    <t>OHLC store</t>
  </si>
  <si>
    <t>DuckDB/Parquet writer + reader with date partitioning</t>
  </si>
  <si>
    <t>T-0009</t>
  </si>
  <si>
    <t>WebSocket client</t>
  </si>
  <si>
    <t>Connect, subscribe, parse binary ticks, heartbeat</t>
  </si>
  <si>
    <t>T-0010</t>
  </si>
  <si>
    <t>Resilience</t>
  </si>
  <si>
    <t>Exponential backoff reconnect + resubscribe + gap detection</t>
  </si>
  <si>
    <t>T-0011</t>
  </si>
  <si>
    <t>EP-03</t>
  </si>
  <si>
    <t>Workspace shell</t>
  </si>
  <si>
    <t>Main window, dock manager, panel registry</t>
  </si>
  <si>
    <t>T-0012</t>
  </si>
  <si>
    <t>Watchlist model/view</t>
  </si>
  <si>
    <t>Virtualised table model; tick-driven updates; sorting</t>
  </si>
  <si>
    <t>T-0013</t>
  </si>
  <si>
    <t>Theme engine</t>
  </si>
  <si>
    <t>Design tokens, QSS generation, runtime switch</t>
  </si>
  <si>
    <t>T-0014</t>
  </si>
  <si>
    <t>EP-04</t>
  </si>
  <si>
    <t>Order domain model</t>
  </si>
  <si>
    <t>Order entity, value objects, state machine + unit tests</t>
  </si>
  <si>
    <t>T-0015</t>
  </si>
  <si>
    <t>Broker port</t>
  </si>
  <si>
    <t>Abstract interface: auth, orders, positions, streams</t>
  </si>
  <si>
    <t>T-0016</t>
  </si>
  <si>
    <t>Paper adapter</t>
  </si>
  <si>
    <t>Simulated fills from best bid/ask + slippage model</t>
  </si>
  <si>
    <t>T-0017</t>
  </si>
  <si>
    <t>EP-05</t>
  </si>
  <si>
    <t>Risk rule engine</t>
  </si>
  <si>
    <t>Rule interface + size/exposure/loss/margin rules</t>
  </si>
  <si>
    <t>T-0018</t>
  </si>
  <si>
    <t>Append-only store with hash chaining + viewer query API</t>
  </si>
  <si>
    <t>T-0019</t>
  </si>
  <si>
    <t>EP-06</t>
  </si>
  <si>
    <t>Kite auth flow</t>
  </si>
  <si>
    <t>Login, token refresh, encrypted storage</t>
  </si>
  <si>
    <t>T-0020</t>
  </si>
  <si>
    <t>Kite order routing</t>
  </si>
  <si>
    <t>Map OMS orders ↔ Kite API; error taxonomy</t>
  </si>
  <si>
    <t>T-0021</t>
  </si>
  <si>
    <t>Reconciliation</t>
  </si>
  <si>
    <t>Startup + periodic order/position sync with broker</t>
  </si>
  <si>
    <t>T-0022</t>
  </si>
  <si>
    <t>EP-07</t>
  </si>
  <si>
    <t>Positions engine</t>
  </si>
  <si>
    <t>MTM P&amp;L, average price, day/net split</t>
  </si>
  <si>
    <t>T-0023</t>
  </si>
  <si>
    <t>Kill switch</t>
  </si>
  <si>
    <t>Cancel-all + square-off + session block + audit</t>
  </si>
  <si>
    <t>T-0024</t>
  </si>
  <si>
    <t>EP-08</t>
  </si>
  <si>
    <t>Alert engine</t>
  </si>
  <si>
    <t>Trigger evaluation loop + dedup + delivery channels</t>
  </si>
  <si>
    <t>T-0025</t>
  </si>
  <si>
    <t>Auto entry on fill + chart snapshot + tags</t>
  </si>
  <si>
    <t>T-0026</t>
  </si>
  <si>
    <t>EP-09</t>
  </si>
  <si>
    <t>Strategy schema</t>
  </si>
  <si>
    <t>Pydantic schema for setup/trigger/invalidation/risk blocks</t>
  </si>
  <si>
    <t>T-0027</t>
  </si>
  <si>
    <t>Codify strategies</t>
  </si>
  <si>
    <t>ORB, structure break, gap fill, range breakout (4 of 8)</t>
  </si>
  <si>
    <t>T-0028</t>
  </si>
  <si>
    <t>EP-10</t>
  </si>
  <si>
    <t>Backtest engine</t>
  </si>
  <si>
    <t>Event loop, portfolio accounting, India cost model</t>
  </si>
  <si>
    <t>T-0029</t>
  </si>
  <si>
    <t>Replay mode</t>
  </si>
  <si>
    <t>Feed historical ticks through live pipeline</t>
  </si>
  <si>
    <t>T-0030</t>
  </si>
  <si>
    <t>EP-11</t>
  </si>
  <si>
    <t>FT-022/023</t>
  </si>
  <si>
    <t>AI service v0</t>
  </si>
  <si>
    <t>Briefing template + trade validation scoring + rationale</t>
  </si>
  <si>
    <t>TOTAL ESTIMATED HOURS</t>
  </si>
  <si>
    <t>NOTES: Estimates are planning inputs (blue). Breakdown hierarchy: Epic → Feature → Task → Subtask. Add rows per sprint; keep the TOTAL row last and extend its SUM range.</t>
  </si>
  <si>
    <t>Module ID</t>
  </si>
  <si>
    <t>Layer</t>
  </si>
  <si>
    <t>Module / Package</t>
  </si>
  <si>
    <t>Path</t>
  </si>
  <si>
    <t>Responsibility</t>
  </si>
  <si>
    <t>M-01</t>
  </si>
  <si>
    <t>Domain</t>
  </si>
  <si>
    <t>entities</t>
  </si>
  <si>
    <t>src/tradepilot/domain/entities</t>
  </si>
  <si>
    <t>Order, Trade, Position, Portfolio, Instrument, Strategy, Alert entities + invariants</t>
  </si>
  <si>
    <t>M-02</t>
  </si>
  <si>
    <t>value_objects</t>
  </si>
  <si>
    <t>src/tradepilot/domain/value_objects</t>
  </si>
  <si>
    <t>Money, Price, Quantity, Symbol, RiskLimits - immutable, validated</t>
  </si>
  <si>
    <t>M-03</t>
  </si>
  <si>
    <t>events</t>
  </si>
  <si>
    <t>src/tradepilot/domain/events</t>
  </si>
  <si>
    <t>Domain events: OrderPlaced, OrderFilled, RiskBreached, SignalGenerated</t>
  </si>
  <si>
    <t>M-04</t>
  </si>
  <si>
    <t>services</t>
  </si>
  <si>
    <t>src/tradepilot/domain/services</t>
  </si>
  <si>
    <t>Pure logic: position netting, P&amp;L calc, sizing math</t>
  </si>
  <si>
    <t>M-01, M-02</t>
  </si>
  <si>
    <t>M-05</t>
  </si>
  <si>
    <t>Application</t>
  </si>
  <si>
    <t>use_cases</t>
  </si>
  <si>
    <t>src/tradepilot/application/use_cases</t>
  </si>
  <si>
    <t>PlaceOrder, CancelOrder, RunBacktest, GenerateBriefing orchestrations</t>
  </si>
  <si>
    <t>M-06</t>
  </si>
  <si>
    <t>ports</t>
  </si>
  <si>
    <t>src/tradepilot/application/ports</t>
  </si>
  <si>
    <t>Abstract interfaces: BrokerPort, MarketDataPort, RepositoryPort, NotifierPort, LLMPort</t>
  </si>
  <si>
    <t>M-07</t>
  </si>
  <si>
    <t>event_bus</t>
  </si>
  <si>
    <t>src/tradepilot/application/event_bus</t>
  </si>
  <si>
    <t>In-process async pub/sub; the seam for future microservice extraction</t>
  </si>
  <si>
    <t>M-08</t>
  </si>
  <si>
    <t>Infrastructure</t>
  </si>
  <si>
    <t>src/tradepilot/infrastructure/brokers</t>
  </si>
  <si>
    <t>Adapters: paper, zerodha, upstox, angelone implementing BrokerPort</t>
  </si>
  <si>
    <t>M-09</t>
  </si>
  <si>
    <t>src/tradepilot/infrastructure/market_data</t>
  </si>
  <si>
    <t>WebSocket clients, historical stores (DuckDB/Parquet), instrument ETL</t>
  </si>
  <si>
    <t>M-10</t>
  </si>
  <si>
    <t>persistence</t>
  </si>
  <si>
    <t>src/tradepilot/infrastructure/persistence</t>
  </si>
  <si>
    <t>SQLAlchemy repositories, migrations (Alembic), audit log store</t>
  </si>
  <si>
    <t>M-11</t>
  </si>
  <si>
    <t>security</t>
  </si>
  <si>
    <t>src/tradepilot/infrastructure/security</t>
  </si>
  <si>
    <t>Keyring-wrapped AES-256-GCM secret store, auth, session mgmt</t>
  </si>
  <si>
    <t>M-12</t>
  </si>
  <si>
    <t>ai</t>
  </si>
  <si>
    <t>src/tradepilot/infrastructure/ai</t>
  </si>
  <si>
    <t>LLM client, prompt templates, explainability schema, feedback store</t>
  </si>
  <si>
    <t>M-13</t>
  </si>
  <si>
    <t>Presentation</t>
  </si>
  <si>
    <t>src/tradepilot/presentation/ui</t>
  </si>
  <si>
    <t>PySide6 workspace shell, panels, view models, theme engine</t>
  </si>
  <si>
    <t>M-14</t>
  </si>
  <si>
    <t>api</t>
  </si>
  <si>
    <t>src/tradepilot/presentation/api</t>
  </si>
  <si>
    <t>FastAPI service exposing use cases for future web/mobile clients</t>
  </si>
  <si>
    <t>M-15</t>
  </si>
  <si>
    <t>Cross-cutting</t>
  </si>
  <si>
    <t>config</t>
  </si>
  <si>
    <t>src/tradepilot/config</t>
  </si>
  <si>
    <t>Pydantic-settings config: env layering (dev/stage/prod), feature flags</t>
  </si>
  <si>
    <t>M-16</t>
  </si>
  <si>
    <t>observability</t>
  </si>
  <si>
    <t>src/tradepilot/observability</t>
  </si>
  <si>
    <t>structlog logging, metrics, tracing hooks</t>
  </si>
  <si>
    <t>M-17</t>
  </si>
  <si>
    <t>src/tradepilot/strategy</t>
  </si>
  <si>
    <t>Strategy DSL, signal engine, library implementations</t>
  </si>
  <si>
    <t>Domain, M-06</t>
  </si>
  <si>
    <t>M-18</t>
  </si>
  <si>
    <t>src/tradepilot/backtest</t>
  </si>
  <si>
    <t>Event-driven backtester, cost models, walk-forward, reports</t>
  </si>
  <si>
    <t>M-17, M-09</t>
  </si>
  <si>
    <t>M-19</t>
  </si>
  <si>
    <t>src/tradepilot/risk</t>
  </si>
  <si>
    <t>Rule engine, exposure book, kill switch, stress tests</t>
  </si>
  <si>
    <t>M-20</t>
  </si>
  <si>
    <t>Plugins</t>
  </si>
  <si>
    <t>src/tradepilot/plugins</t>
  </si>
  <si>
    <t>Entry-point discovery for third-party strategies/brokers/data (v2)</t>
  </si>
  <si>
    <t>NOTES: Dependency rule (Clean Architecture): Presentation → Application → Domain; Infrastructure implements Application ports. Domain imports nothing outside itself. Naming: snake_case packages, PascalCase classes, UPPER_SNAKE constants.</t>
  </si>
  <si>
    <t>Layer / Concern</t>
  </si>
  <si>
    <t>Component</t>
  </si>
  <si>
    <t>Technology</t>
  </si>
  <si>
    <t>Patterns Applied</t>
  </si>
  <si>
    <t>Scalability &amp; Notes</t>
  </si>
  <si>
    <t>Architecture Style</t>
  </si>
  <si>
    <t>Overall</t>
  </si>
  <si>
    <t>Modular monolith on Clean Architecture, structured so each application service can be extracted into a microservice later</t>
  </si>
  <si>
    <t>Python 3.12</t>
  </si>
  <si>
    <t>Clean Architecture, DDD, Ports &amp; Adapters</t>
  </si>
  <si>
    <t>Bounded contexts map 1:1 to future services; event bus is the seam</t>
  </si>
  <si>
    <t>Desktop UI</t>
  </si>
  <si>
    <t>Trading workspace: panels, charts, order tickets, dashboards</t>
  </si>
  <si>
    <t>PySide6 (Qt6)</t>
  </si>
  <si>
    <t>MVVM, Observer</t>
  </si>
  <si>
    <t>UI thread isolated; all I/O on worker threads/async loop</t>
  </si>
  <si>
    <t>API Gateway</t>
  </si>
  <si>
    <t>REST/WebSocket facade for future web &amp; mobile clients</t>
  </si>
  <si>
    <t>FastAPI + uvicorn</t>
  </si>
  <si>
    <t>Facade, DTO mapping</t>
  </si>
  <si>
    <t>Stateless; horizontally scalable behind a reverse proxy</t>
  </si>
  <si>
    <t>Use Cases</t>
  </si>
  <si>
    <t>Orchestrate domain logic per user intent (PlaceOrder, RunBacktest)</t>
  </si>
  <si>
    <t>Pure Python</t>
  </si>
  <si>
    <t>Command handler, Unit of Work</t>
  </si>
  <si>
    <t>One transaction boundary per use case</t>
  </si>
  <si>
    <t>Event Bus</t>
  </si>
  <si>
    <t>Async in-process pub/sub for domain events</t>
  </si>
  <si>
    <t>asyncio queues</t>
  </si>
  <si>
    <t>Event-driven architecture, Outbox (for external delivery)</t>
  </si>
  <si>
    <t>Swap to Redis Streams/NATS when multi-process</t>
  </si>
  <si>
    <t>Entities, value objects, invariants, domain services (netting, sizing)</t>
  </si>
  <si>
    <t>Pure Python + pydantic-free dataclasses</t>
  </si>
  <si>
    <t>DDD aggregates, State machine</t>
  </si>
  <si>
    <t>Zero framework deps → trivially unit-testable</t>
  </si>
  <si>
    <t>Domain Contexts</t>
  </si>
  <si>
    <t>Bounded Contexts</t>
  </si>
  <si>
    <t>MarketData, Trading, Risk, Portfolio, Strategy, Research, AI, Identity</t>
  </si>
  <si>
    <t>DDD context map</t>
  </si>
  <si>
    <t>Anti-corruption layer at each broker/data boundary</t>
  </si>
  <si>
    <t>Broker Adapters</t>
  </si>
  <si>
    <t>Implement BrokerPort per broker; translate errors &amp; symbols</t>
  </si>
  <si>
    <t>httpx, websockets, broker SDKs</t>
  </si>
  <si>
    <t>Adapter, Circuit breaker, Retry</t>
  </si>
  <si>
    <t>One adapter per broker; failover chain configurable</t>
  </si>
  <si>
    <t>Streaming ingest, normalisation, fan-out, historical store</t>
  </si>
  <si>
    <t>websockets, DuckDB, Parquet, pyarrow</t>
  </si>
  <si>
    <t>Pipeline, Backpressure</t>
  </si>
  <si>
    <t>Ring buffers; drop-to-conflate policy under tick storms</t>
  </si>
  <si>
    <t>Persistence</t>
  </si>
  <si>
    <t>Transactional store + time-series store + audit log</t>
  </si>
  <si>
    <t>PostgreSQL (or SQLite single-user), SQLAlchemy, Alembic</t>
  </si>
  <si>
    <t>Repository, Migration versioning</t>
  </si>
  <si>
    <t>Read models denormalised for dashboards</t>
  </si>
  <si>
    <t>Cache &amp; Queue</t>
  </si>
  <si>
    <t>Hot quotes cache, task queue for ETL/reports</t>
  </si>
  <si>
    <t>Redis (optional local fallback), Celery/arq</t>
  </si>
  <si>
    <t>Cache-aside, Work queue</t>
  </si>
  <si>
    <t>Optional in single-user mode</t>
  </si>
  <si>
    <t>Observability</t>
  </si>
  <si>
    <t>Structured logs, metrics, traces, alerting on system health</t>
  </si>
  <si>
    <t>structlog, Prometheus client, Grafana</t>
  </si>
  <si>
    <t>Sidecar-ready exporters</t>
  </si>
  <si>
    <t>Latency histograms on order path</t>
  </si>
  <si>
    <t>AuthN/AuthZ, secret storage, audit</t>
  </si>
  <si>
    <t>argon2, PyJWT, keyring, AES-256-GCM</t>
  </si>
  <si>
    <t>RBAC, Defense in depth</t>
  </si>
  <si>
    <t>See Security Checklist sheet</t>
  </si>
  <si>
    <t>Data Flow</t>
  </si>
  <si>
    <t>Order Path</t>
  </si>
  <si>
    <t>UI → UseCase → Risk engine → BrokerPort → Broker; fills stream back as events updating positions, journal, audit</t>
  </si>
  <si>
    <t>CQRS-lite (commands vs read models)</t>
  </si>
  <si>
    <t>p95 internal overhead target &lt; 150 ms</t>
  </si>
  <si>
    <t>Market Data Path</t>
  </si>
  <si>
    <t>Broker WS → normaliser → event bus → (UI, strategy engine, alert engine, recorder)</t>
  </si>
  <si>
    <t>Fan-out, Conflation</t>
  </si>
  <si>
    <t>Recorder writes ticks to Parquet for replay/backtest</t>
  </si>
  <si>
    <t>Component Interaction</t>
  </si>
  <si>
    <t>Diagram Reference</t>
  </si>
  <si>
    <t>C4 diagrams maintained in docs/architecture (context, container, component levels)</t>
  </si>
  <si>
    <t>Structurizr / Mermaid</t>
  </si>
  <si>
    <t>C4 model</t>
  </si>
  <si>
    <t>Regenerated in CI; linked from Documentation Tracker</t>
  </si>
  <si>
    <t>L1 System</t>
  </si>
  <si>
    <t>L2 Module</t>
  </si>
  <si>
    <t>L3 Submodules</t>
  </si>
  <si>
    <t>Purpose</t>
  </si>
  <si>
    <t>Key Interfaces (in → out)</t>
  </si>
  <si>
    <t>Trading Engine</t>
  </si>
  <si>
    <t>feed_clients, normalizer, tick_queue, conflation, ohlc_builder, recorder, cache</t>
  </si>
  <si>
    <t>Ingest, normalise and fan out all market data</t>
  </si>
  <si>
    <t>Broker WS → DomainTick events, QuoteCache reads</t>
  </si>
  <si>
    <t>etl, symbology, token_map, corporate_actions</t>
  </si>
  <si>
    <t>Canonical instrument identity across brokers</t>
  </si>
  <si>
    <t>Exchange files → Instrument repo</t>
  </si>
  <si>
    <t>ticket_service, state_machine, router, oco_manager, reconciler</t>
  </si>
  <si>
    <t>Full order lifecycle and broker routing</t>
  </si>
  <si>
    <t>PlaceOrder cmd → OrderEvents</t>
  </si>
  <si>
    <t>positions, holdings, pnl, xirr, dividends</t>
  </si>
  <si>
    <t>Positions, MTM and long-term analytics</t>
  </si>
  <si>
    <t>Fill events → PositionUpdated events</t>
  </si>
  <si>
    <t>pretrade_rules, heat_model, limits, kill_switch, stress, correlation</t>
  </si>
  <si>
    <t>Enforce all risk controls (RK-01..19)</t>
  </si>
  <si>
    <t>Order intents → verdicts; monitors → breaches</t>
  </si>
  <si>
    <t>dsl, validators, signal_engine, structure_engine, regime</t>
  </si>
  <si>
    <t>Codified playbooks generating signals</t>
  </si>
  <si>
    <t>Ticks/candles → Signal events</t>
  </si>
  <si>
    <t>AI</t>
  </si>
  <si>
    <t>analyst, trade_assistant, portfolio_manager, research_assistant, explainability, feedback</t>
  </si>
  <si>
    <t>Decision-support intelligence (see AI Architecture)</t>
  </si>
  <si>
    <t>Verified data → ai_outputs</t>
  </si>
  <si>
    <t>auto_capture, tags, review, stats</t>
  </si>
  <si>
    <t>Trade journaling and review analytics</t>
  </si>
  <si>
    <t>Fill events → journal entries</t>
  </si>
  <si>
    <t>Analytics</t>
  </si>
  <si>
    <t>expectancy, drawdown, attribution, benchmarks</t>
  </si>
  <si>
    <t>Cross-cutting performance analytics</t>
  </si>
  <si>
    <t>Journal/portfolio → reports</t>
  </si>
  <si>
    <t>Reporting</t>
  </si>
  <si>
    <t>report_builder, exporters (xlsx/pdf), templates</t>
  </si>
  <si>
    <t>Formal outputs: EOD, weekly review, tax pack</t>
  </si>
  <si>
    <t>Analytics → files</t>
  </si>
  <si>
    <t>Notifications</t>
  </si>
  <si>
    <t>channels (desktop/telegram/email), routing, dedup</t>
  </si>
  <si>
    <t>Unified outbound messaging</t>
  </si>
  <si>
    <t>Any event → delivered notification</t>
  </si>
  <si>
    <t>cron_jobs, market_calendar, job_monitor</t>
  </si>
  <si>
    <t>Time-based orchestration (ETL, square-off, backups)</t>
  </si>
  <si>
    <t>Clock/calendar → job runs</t>
  </si>
  <si>
    <t>Workspace</t>
  </si>
  <si>
    <t>shell, dock_manager, layout_store, panel_registry, hotkeys</t>
  </si>
  <si>
    <t>Desktop UX container</t>
  </si>
  <si>
    <t>User input → panel commands</t>
  </si>
  <si>
    <t>Identity &amp; Access</t>
  </si>
  <si>
    <t>auth, sessions, rbac, license</t>
  </si>
  <si>
    <t>Users, roles, entitlements</t>
  </si>
  <si>
    <t>Credentials → sessions/permissions</t>
  </si>
  <si>
    <t>repositories, migrations, audit_store, timeseries_store</t>
  </si>
  <si>
    <t>All durable state</t>
  </si>
  <si>
    <t>Domain objects ↔ DB/Parquet</t>
  </si>
  <si>
    <t>discovery, sandbox, permissions, lifecycle, marketplace_client</t>
  </si>
  <si>
    <t>Load and govern third-party extensions</t>
  </si>
  <si>
    <t>Entry points → registered ports</t>
  </si>
  <si>
    <t>logging, metrics, tracing, health</t>
  </si>
  <si>
    <t>See Observability &amp; SLOs sheet</t>
  </si>
  <si>
    <t>Everything → telemetry</t>
  </si>
  <si>
    <t>Configuration</t>
  </si>
  <si>
    <t>settings_service, feature_flags, profiles</t>
  </si>
  <si>
    <t>See Configuration Matrix sheet</t>
  </si>
  <si>
    <t>Env/UI → typed config</t>
  </si>
  <si>
    <t>NOTES: Tree view: Trading Engine ├─ Market Data ├─ Instrument Master ├─ Orders ├─ Portfolio ├─ Risk ├─ Strategy ├─ AI ├─ Journal ├─ Analytics ├─ Reporting ├─ Notifications └─ Scheduler; Platform ├─ Workspace ├─ Identity ├─ Persistence ├─ Plugin Manager ├─ Observability └─ Configuration. Each L2 module owns its bounded context and communicates via the event bus + ports only.</t>
  </si>
  <si>
    <t>Diagram</t>
  </si>
  <si>
    <t>Notation / Tool</t>
  </si>
  <si>
    <t>Text Representation (authoritative sketch)</t>
  </si>
  <si>
    <t>High-Level Architecture</t>
  </si>
  <si>
    <t>C4 Level 1-2 (Structurizr)</t>
  </si>
  <si>
    <t>System context and containers</t>
  </si>
  <si>
    <t>User ⇄ [Desktop UI (PySide6)] ⇄ [Application Core (use cases + event bus)]
[Application Core] ⇄ [Market Data Engine] ⇄ (Broker feeds: Kite WS / Upstox WS)
[Application Core] ⇄ [Broker Adapters] ⇄ (Broker REST APIs)
[Application Core] ⇄ [Persistence: PostgreSQL + DuckDB/Parquet]
[Application Core] ⇄ [AI Service] ⇄ (LLM API)
[FastAPI Gateway] → future web/mobile clients</t>
  </si>
  <si>
    <t>Component Diagram</t>
  </si>
  <si>
    <t>C4 Level 3</t>
  </si>
  <si>
    <t>Inside Application Core</t>
  </si>
  <si>
    <t>UseCases → Ports{BrokerPort, MarketDataPort, RepoPort, NotifierPort, LLMPort}
EventBus ← publishes ← {OMS, Risk, Strategy, Portfolio}
EventBus → subscribers → {UI ViewModels, Journal, Alerts, Recorder, AI}</t>
  </si>
  <si>
    <t>Sequence: Place Order</t>
  </si>
  <si>
    <t>Mermaid sequenceDiagram</t>
  </si>
  <si>
    <t>Happy path + risk block path</t>
  </si>
  <si>
    <t>UI→UseCase: PlaceOrder(cmd)
UseCase→Risk: validate(order)
Risk--&gt;UseCase: PASS (or BLOCK+reasons → UI, end)
UseCase→BrokerPort: place()
BrokerPort--&gt;UseCase: broker_order_id (ACK)
UseCase→EventBus: OrderPlaced
Broker WS→OMS: fill
OMS→EventBus: OrderFilled → {Positions, Journal, Audit, UI}</t>
  </si>
  <si>
    <t>Sequence: Feed Recovery</t>
  </si>
  <si>
    <t>Mermaid</t>
  </si>
  <si>
    <t>Disconnect / reconcile flow</t>
  </si>
  <si>
    <t>WS client: heartbeat missed → state=DEGRADED → UI banner + order entry disabled
reconnect(backoff) → resubscribe(all) → gap_backfill(REST candles)
Reconciler→Broker: fetch orders/positions → diff vs OMS → apply/raise banner
state=LIVE</t>
  </si>
  <si>
    <t>Deployment Diagram</t>
  </si>
  <si>
    <t>C4 deployment</t>
  </si>
  <si>
    <t>Single-user vs enterprise topologies</t>
  </si>
  <si>
    <t>Single-user: one workstation = UI + core + SQLite/DuckDB (all in-process)
Enterprise: workstation UIs → [API Gateway container] → [core services containers] → [PostgreSQL] + [Redis] + [Prometheus/Grafana]; license server separate</t>
  </si>
  <si>
    <t>Database ER Diagram</t>
  </si>
  <si>
    <t>Mermaid erDiagram / dbdiagram.io</t>
  </si>
  <si>
    <t>Generated from Alembic models in CI</t>
  </si>
  <si>
    <t>users 1─* broker_accounts 1─* orders 1─* trades
orders *─1 instruments; positions *─1 instruments
strategies 1─* signals; trades 1─0..1 journal_entries
users 1─* watchlists 1─* watchlist_items *─1 instruments
(see Database Schema + Database Dictionary sheets for full detail)</t>
  </si>
  <si>
    <t>Package Diagram</t>
  </si>
  <si>
    <t>import-linter graph</t>
  </si>
  <si>
    <t>Enforced dependency direction</t>
  </si>
  <si>
    <t>presentation → application → domain
infrastructure → application(ports) + domain
strategy/backtest/risk → domain
NOTHING imports presentation; domain imports nothing</t>
  </si>
  <si>
    <t>Event Flow</t>
  </si>
  <si>
    <t>Event storming board</t>
  </si>
  <si>
    <t>Producer → event → consumers (full list in Event Catalog)</t>
  </si>
  <si>
    <t>MarketTickReceived: MarketData → {UI, Strategy, Alerts, Recorder, Risk-MTM}
OrderFilled: OMS → {Positions, Journal, Audit, Notifications, AI-feedback}
RiskLimitBreached: Risk → {OMS(block), UI, Notifications, Audit}</t>
  </si>
  <si>
    <t>Thread / Concurrency Architecture</t>
  </si>
  <si>
    <t>Annotated diagram</t>
  </si>
  <si>
    <t>Who runs where; no shared mutable state</t>
  </si>
  <si>
    <t>Main thread: Qt UI only
asyncio loop thread: event bus, use cases, broker I/O, WS clients
Worker pool (N=4): backtests, reports, ETL, AI calls
UI ⇄ loop via thread-safe queue + Qt signals; ticks conflated before crossing to UI thread
DB writes serialised through repository session per task</t>
  </si>
  <si>
    <t>UI Navigation Tree</t>
  </si>
  <si>
    <t>Sitemap</t>
  </si>
  <si>
    <t>Screen hierarchy (transitions in Navigation Flow sheet)</t>
  </si>
  <si>
    <t>Login → Workspace
Workspace ├─ Trading layout {Watchlist, Chart, Depth, Ticket, Orders, Positions}
├─ Research layout {Chart, Fundamentals, Events, Scanner, News}
├─ Portfolio layout {Holdings, Allocation, Dividends, Reports}
├─ Review layout {Journal, Analytics, AI Review}
└─ System {Settings, Risk Console, Health, Admin}</t>
  </si>
  <si>
    <t>NOTES: These text sketches are the authoritative source; rendered diagrams are generated from them (Mermaid/Structurizr files in docs/architecture/) and rebuilt in CI so drawings never drift from this sheet.</t>
  </si>
  <si>
    <t>Stage</t>
  </si>
  <si>
    <t>Technology / Data Structure</t>
  </si>
  <si>
    <t>Latency Budget</t>
  </si>
  <si>
    <t>Failure Handling</t>
  </si>
  <si>
    <t>Exchange</t>
  </si>
  <si>
    <t>NSE/BSE/MCX matching engines produce ticks</t>
  </si>
  <si>
    <t>Out of our control; broker SLA applies</t>
  </si>
  <si>
    <t>Broker Feed</t>
  </si>
  <si>
    <t>Broker distributes exchange data per subscription</t>
  </si>
  <si>
    <t>Kite/Upstox/Angel feeds</t>
  </si>
  <si>
    <t>Multi-feed config: secondary feed on standby</t>
  </si>
  <si>
    <t>WebSocket Client</t>
  </si>
  <si>
    <t>Maintain connection, subscribe, parse wire format (binary/protobuf)</t>
  </si>
  <si>
    <t>websockets + per-broker codec</t>
  </si>
  <si>
    <t>≤ 5 ms parse</t>
  </si>
  <si>
    <t>Heartbeat watch; exponential backoff reconnect; resubscribe from subscription registry</t>
  </si>
  <si>
    <t>Tick Queue</t>
  </si>
  <si>
    <t>Decouple network from processing; absorb bursts</t>
  </si>
  <si>
    <t>asyncio.Queue ring buffer (bounded 50k)</t>
  </si>
  <si>
    <t>≤ 1 ms enqueue</t>
  </si>
  <si>
    <t>Overflow → conflation mode + metric + banner; never blocks socket read</t>
  </si>
  <si>
    <t>Normalizer</t>
  </si>
  <si>
    <t>Map to canonical DomainTick (instrument_id, ltp, depth, oi, ts)</t>
  </si>
  <si>
    <t>Per-broker adapter + symbology map</t>
  </si>
  <si>
    <t>≤ 2 ms</t>
  </si>
  <si>
    <t>Unknown token → quarantine queue + daily report</t>
  </si>
  <si>
    <t>Conflation</t>
  </si>
  <si>
    <t>Per-symbol latest-value coalescing for slow consumers (UI)</t>
  </si>
  <si>
    <t>Dict[int, Tick] swap buffers @ 60 Hz</t>
  </si>
  <si>
    <t>≤ 16 ms cycle</t>
  </si>
  <si>
    <t>UI always gets latest; strategy path bypasses conflation</t>
  </si>
  <si>
    <t>Data Cache</t>
  </si>
  <si>
    <t>Hot quote store: LTP, best 5 depth, day OHLC, circuit bands</t>
  </si>
  <si>
    <t>In-process dict / Redis (enterprise)</t>
  </si>
  <si>
    <t>≤ 0.1 ms read</t>
  </si>
  <si>
    <t>Cache rebuildable from snapshot REST call</t>
  </si>
  <si>
    <t>OHLC Builder</t>
  </si>
  <si>
    <t>Aggregate ticks → 1s/1m/5m/day candles; session boundaries via market calendar</t>
  </si>
  <si>
    <t>Incremental aggregator</t>
  </si>
  <si>
    <t>Gap detection triggers REST backfill; candles flagged 'backfilled'</t>
  </si>
  <si>
    <t>Recorder</t>
  </si>
  <si>
    <t>Persist raw normalised ticks for replay/backtest</t>
  </si>
  <si>
    <t>Parquet append (per symbol-day) via buffer flush 5 s</t>
  </si>
  <si>
    <t>off hot path</t>
  </si>
  <si>
    <t>Flush failure → local spill file + alert; no impact on live path</t>
  </si>
  <si>
    <t>Strategy Engine Feed</t>
  </si>
  <si>
    <t>Deliver un-conflated ticks/candles to signal evaluators</t>
  </si>
  <si>
    <t>Event bus topic per subscription</t>
  </si>
  <si>
    <t>≤ 5 ms</t>
  </si>
  <si>
    <t>Slow strategy detector: warns, then detaches offender</t>
  </si>
  <si>
    <t>UI Delivery</t>
  </si>
  <si>
    <t>Push conflated updates to view models on UI thread</t>
  </si>
  <si>
    <t>Qt signal batch per frame</t>
  </si>
  <si>
    <t>≤ 16 ms</t>
  </si>
  <si>
    <t>Frame budget guard drops to 30 Hz under load</t>
  </si>
  <si>
    <t>Database / Lake</t>
  </si>
  <si>
    <t>Long-term candles + tick archive for research</t>
  </si>
  <si>
    <t>DuckDB over Parquet lake</t>
  </si>
  <si>
    <t>batch</t>
  </si>
  <si>
    <t>Nightly compaction; retention per Data Retention Policy</t>
  </si>
  <si>
    <t>NOTES: Pipeline: Exchange → Broker Feed → WebSocket → Tick Queue → Normalizer → {Data Cache, OHLC Builder, Conflation → UI, Strategy Engine, Recorder} → Database. Total budget socket-to-UI ≤ 30 ms internal (PB-03 measures end-to-end including render). The strategy path is never conflated; the UI path always is.</t>
  </si>
  <si>
    <t>Entity / Aggregate</t>
  </si>
  <si>
    <t>Key Attributes</t>
  </si>
  <si>
    <t>Invariants (always true)</t>
  </si>
  <si>
    <t>Key Behaviours</t>
  </si>
  <si>
    <t>Relationships</t>
  </si>
  <si>
    <t>Bounded Context</t>
  </si>
  <si>
    <t>User</t>
  </si>
  <si>
    <t>Aggregate root</t>
  </si>
  <si>
    <t>id, username, role, preferences</t>
  </si>
  <si>
    <t>Role from fixed set; at least one owner exists</t>
  </si>
  <si>
    <t>authenticate, change_role (guarded)</t>
  </si>
  <si>
    <t>owns BrokerAccounts, Watchlists, Workspaces</t>
  </si>
  <si>
    <t>BrokerAccount</t>
  </si>
  <si>
    <t>Entity</t>
  </si>
  <si>
    <t>id, broker, client_code, status, capabilities</t>
  </si>
  <si>
    <t>Credentials never exposed after write; one primary per user</t>
  </si>
  <si>
    <t>connect, disconnect, health_check</t>
  </si>
  <si>
    <t>belongs to User; routes Orders</t>
  </si>
  <si>
    <t>Identity/Brokers</t>
  </si>
  <si>
    <t>Instrument</t>
  </si>
  <si>
    <t>Entity (reference)</t>
  </si>
  <si>
    <t>id, symbol, exchange, type, lot, tick, expiry</t>
  </si>
  <si>
    <t>Immutable identity; tick/lot positive</t>
  </si>
  <si>
    <t>is_tradeable(now), round_to_tick</t>
  </si>
  <si>
    <t>referenced everywhere</t>
  </si>
  <si>
    <t>MarketData</t>
  </si>
  <si>
    <t>Quote / Tick</t>
  </si>
  <si>
    <t>Value object</t>
  </si>
  <si>
    <t>instrument_id, ltp, depth, oi, ts</t>
  </si>
  <si>
    <t>Timestamped; never mutated</t>
  </si>
  <si>
    <t>consumed by all engines</t>
  </si>
  <si>
    <t>Candle</t>
  </si>
  <si>
    <t>instrument, tf, ohlcv, ts, backfilled</t>
  </si>
  <si>
    <t>high ≥ max(o,c), low ≤ min(o,c)</t>
  </si>
  <si>
    <t>built from Ticks</t>
  </si>
  <si>
    <t>Order</t>
  </si>
  <si>
    <t>id, instrument, side, type, qty, price, status, legs</t>
  </si>
  <si>
    <t>State transitions only via state machine; qty lot-aligned; bracket legs reference parent</t>
  </si>
  <si>
    <t>validate, place, modify, cancel, on_fill</t>
  </si>
  <si>
    <t>1─* Trades; may belong to Strategy; guarded by RiskVerdict</t>
  </si>
  <si>
    <t>Trading</t>
  </si>
  <si>
    <t>Trade (Fill)</t>
  </si>
  <si>
    <t>Entity (immutable)</t>
  </si>
  <si>
    <t>id, order_id, qty, price, fees, ts</t>
  </si>
  <si>
    <t>Never updated post-insert; fees ≥ 0</t>
  </si>
  <si>
    <t>*─1 Order; source for Position &amp; Journal</t>
  </si>
  <si>
    <t>Position</t>
  </si>
  <si>
    <t>Entity (derived)</t>
  </si>
  <si>
    <t>account, instrument, net_qty, avg_price, realized_pnl</t>
  </si>
  <si>
    <t>Always rebuildable from Trades (checked nightly)</t>
  </si>
  <si>
    <t>apply_fill, mtm(quote), square_off_intent</t>
  </si>
  <si>
    <t>derived from Trades</t>
  </si>
  <si>
    <t>user, holdings, cash view, targets</t>
  </si>
  <si>
    <t>Holdings qty ≥ 0; XIRR derived not stored</t>
  </si>
  <si>
    <t>allocation(), xirr(), drift_vs_targets()</t>
  </si>
  <si>
    <t>aggregates Holdings + Positions view</t>
  </si>
  <si>
    <t>id, name, version, definition, state</t>
  </si>
  <si>
    <t>Versions immutable; live state requires attached passing backtest report</t>
  </si>
  <si>
    <t>validate, generate_signals(ctx), promote/demote</t>
  </si>
  <si>
    <t>1─* Signals; referenced by Orders</t>
  </si>
  <si>
    <t>Signal</t>
  </si>
  <si>
    <t>id, strategy, instrument, payload, ts</t>
  </si>
  <si>
    <t>Payload matches strategy schema; never implies execution</t>
  </si>
  <si>
    <t>score(), to_opportunity_card()</t>
  </si>
  <si>
    <t>may lead to Order (human decision)</t>
  </si>
  <si>
    <t>RiskLimit / RiskVerdict</t>
  </si>
  <si>
    <t>Entity / Value object</t>
  </si>
  <si>
    <t>scope, type, value, is_hard / verdict, reasons</t>
  </si>
  <si>
    <t>Hard limits changeable only via change-control; verdict lists every failed rule</t>
  </si>
  <si>
    <t>evaluate(order_ctx)</t>
  </si>
  <si>
    <t>verdicts attached to Orders + audit</t>
  </si>
  <si>
    <t>Alert</t>
  </si>
  <si>
    <t>id, rule, status, channels</t>
  </si>
  <si>
    <t>Armed rule always evaluatable; fires are idempotent per trigger</t>
  </si>
  <si>
    <t>arm, evaluate(tick), fire, snooze</t>
  </si>
  <si>
    <t>creates Notifications</t>
  </si>
  <si>
    <t>JournalEntry</t>
  </si>
  <si>
    <t>id, trade_id?, snapshot, tags, note</t>
  </si>
  <si>
    <t>Auto-entries immutable in trade facts; notes editable</t>
  </si>
  <si>
    <t>annotate, tag, link_review</t>
  </si>
  <si>
    <t>0..1─1 Trade; feeds Analytics + AI feedback</t>
  </si>
  <si>
    <t>AIRecommendation</t>
  </si>
  <si>
    <t>id, kind, inputs_ref, output, confidence, model_version, feedback</t>
  </si>
  <si>
    <t>Must satisfy explainability schema (evidence for every claim); no execution authority</t>
  </si>
  <si>
    <t>render_card, collect_feedback</t>
  </si>
  <si>
    <t>may reference Signals/Orders/Portfolio</t>
  </si>
  <si>
    <t>id, user, layout_tree, monitor_topology, hotkeys</t>
  </si>
  <si>
    <t>Risk strip + kill switch always present in layout</t>
  </si>
  <si>
    <t>save, restore, fork_preset</t>
  </si>
  <si>
    <t>belongs to User</t>
  </si>
  <si>
    <t>NOTES: This is the ubiquitous-language contract (Coding Standards → Domain vocabulary). Aggregates define transaction boundaries: a use case loads/saves whole aggregates via repositories; cross-aggregate coordination happens through domain events only (see Event Catalog).</t>
  </si>
  <si>
    <t>Event</t>
  </si>
  <si>
    <t>Producer</t>
  </si>
  <si>
    <t>Payload (key fields)</t>
  </si>
  <si>
    <t>Consumers</t>
  </si>
  <si>
    <t>Delivery Guarantee</t>
  </si>
  <si>
    <t>MarketTickReceived</t>
  </si>
  <si>
    <t>Market Data (normalizer)</t>
  </si>
  <si>
    <t>instrument_id, ltp, depth, ts</t>
  </si>
  <si>
    <t>UI(conflated), Strategy, Alerts, Recorder, Risk-MTM</t>
  </si>
  <si>
    <t>At-most-once (conflatable)</t>
  </si>
  <si>
    <t>Highest-volume event; never persisted individually</t>
  </si>
  <si>
    <t>CandleClosed</t>
  </si>
  <si>
    <t>OHLC builder</t>
  </si>
  <si>
    <t>instrument_id, tf, ohlcv, backfilled</t>
  </si>
  <si>
    <t>Strategy, Charts, AI Analyst</t>
  </si>
  <si>
    <t>At-least-once</t>
  </si>
  <si>
    <t>Backfilled flag lets strategies skip synthetic bars</t>
  </si>
  <si>
    <t>FeedStateChanged</t>
  </si>
  <si>
    <t>WS clients</t>
  </si>
  <si>
    <t>feed_id, state(LIVE/DEGRADED/DOWN)</t>
  </si>
  <si>
    <t>UI banner, OMS gate, Health, Notifications</t>
  </si>
  <si>
    <t>Exactly-once (in-proc)</t>
  </si>
  <si>
    <t>DEGRADED disables new order entry</t>
  </si>
  <si>
    <t>OrderValidated</t>
  </si>
  <si>
    <t>Risk engine</t>
  </si>
  <si>
    <t>order_intent, verdict, reasons[]</t>
  </si>
  <si>
    <t>OMS, UI ticket, Audit</t>
  </si>
  <si>
    <t>Exactly-once</t>
  </si>
  <si>
    <t>BLOCK verdict stops flow here</t>
  </si>
  <si>
    <t>OrderPlaced</t>
  </si>
  <si>
    <t>OMS</t>
  </si>
  <si>
    <t>order_id, broker_order_id, snapshot</t>
  </si>
  <si>
    <t>UI, Audit, Journal(prepare), Notifications</t>
  </si>
  <si>
    <t>Exactly-once + outbox</t>
  </si>
  <si>
    <t>Outbox row until audit write confirmed</t>
  </si>
  <si>
    <t>OrderStateChanged</t>
  </si>
  <si>
    <t>OMS (broker events)</t>
  </si>
  <si>
    <t>order_id, from, to, broker_code</t>
  </si>
  <si>
    <t>UI, Audit, Trade Log</t>
  </si>
  <si>
    <t>At-least-once (idempotent)</t>
  </si>
  <si>
    <t>Consumers dedupe on (order_id, to, ts)</t>
  </si>
  <si>
    <t>OrderFilled</t>
  </si>
  <si>
    <t>order_id, trade_id, qty, price, fees</t>
  </si>
  <si>
    <t>Positions, Journal, Audit, Notifications, AI-feedback</t>
  </si>
  <si>
    <t>The money event - strongest guarantees</t>
  </si>
  <si>
    <t>PositionUpdated</t>
  </si>
  <si>
    <t>account, instrument, net_qty, avg, pnl</t>
  </si>
  <si>
    <t>UI, Risk heat model, AI Portfolio</t>
  </si>
  <si>
    <t>Derived; consumers treat as state snapshot</t>
  </si>
  <si>
    <t>RiskLimitBreached</t>
  </si>
  <si>
    <t>Risk monitors</t>
  </si>
  <si>
    <t>limit_id, type, measured, threshold, severity</t>
  </si>
  <si>
    <t>OMS(block), UI, Notifications, Audit, Kill-switch(auto rules)</t>
  </si>
  <si>
    <t>RK-04 auto-action subscribes here</t>
  </si>
  <si>
    <t>KillSwitchActivated</t>
  </si>
  <si>
    <t>Risk / user</t>
  </si>
  <si>
    <t>actor, mode(manual/auto), scope</t>
  </si>
  <si>
    <t>OMS, all UIs, Audit, Notifications</t>
  </si>
  <si>
    <t>Session enters BLOCKED (State Machines sheet)</t>
  </si>
  <si>
    <t>SignalGenerated</t>
  </si>
  <si>
    <t>Strategy engine</t>
  </si>
  <si>
    <t>strategy_id, instrument, payload, score</t>
  </si>
  <si>
    <t>AI Trade Assistant, Opportunity UI, Recorder</t>
  </si>
  <si>
    <t>Never triggers orders directly (ADR-0005)</t>
  </si>
  <si>
    <t>AlertTriggered</t>
  </si>
  <si>
    <t>alert_id, rule, trigger_value</t>
  </si>
  <si>
    <t>Notifications, UI, Audit</t>
  </si>
  <si>
    <t>At-least-once (dedup window)</t>
  </si>
  <si>
    <t>Idempotency key = (alert_id, trigger_bucket)</t>
  </si>
  <si>
    <t>AIOutputProduced</t>
  </si>
  <si>
    <t>AI service</t>
  </si>
  <si>
    <t>output_id, kind, confidence, model_version</t>
  </si>
  <si>
    <t>UI cards, ai_outputs store</t>
  </si>
  <si>
    <t>Schema-gated before publish (AI-13)</t>
  </si>
  <si>
    <t>ReconciliationCompleted</t>
  </si>
  <si>
    <t>Reconciler</t>
  </si>
  <si>
    <t>account, diffs[], resolved</t>
  </si>
  <si>
    <t>UI banner (if diffs), Audit</t>
  </si>
  <si>
    <t>Runs on connect + every 60 s</t>
  </si>
  <si>
    <t>JobCompleted / JobFailed</t>
  </si>
  <si>
    <t>job_id, name, duration, error?</t>
  </si>
  <si>
    <t>Health, Notifications(on fail), Logs</t>
  </si>
  <si>
    <t>Covers ETL, backups, stress tests, briefings</t>
  </si>
  <si>
    <t>SessionLifecycle (LoginSucceeded/Locked/LoggedOut)</t>
  </si>
  <si>
    <t>user_id, method, device</t>
  </si>
  <si>
    <t>Audit, UI, Activity log</t>
  </si>
  <si>
    <t>Feeds SEC-14 coverage</t>
  </si>
  <si>
    <t>NOTES: Naming: &lt;Noun&gt;&lt;PastTenseVerb&gt;. Envelope: event_id (UUIDv7), trace_id, occurred_at, schema_version, payload. Exactly-once within process is achieved via the outbox table for events that MUST reach the audit log; cross-process (v2.0 enterprise) inherits at-least-once + consumer idempotency. Every new event requires a row here + schema in src/tradepilot/domain/events.</t>
  </si>
  <si>
    <t>Machine</t>
  </si>
  <si>
    <t>States</t>
  </si>
  <si>
    <t>Transitions (from → to : trigger)</t>
  </si>
  <si>
    <t>Illegal Transitions Guarded</t>
  </si>
  <si>
    <t>Persistence &amp; Recovery</t>
  </si>
  <si>
    <t>Order Lifecycle</t>
  </si>
  <si>
    <t>NEW, VALIDATED, SENT, ACK, PARTIAL, FILLED, REJECTED, CANCEL_PENDING, CANCELLED, EXPIRED</t>
  </si>
  <si>
    <t>NEW→VALIDATED: risk PASS · VALIDATED→SENT: routed · SENT→ACK: broker id received · ACK→PARTIAL: partial fill · ACK/PARTIAL→FILLED: complete · SENT/ACK→REJECTED: broker reject · ACK/PARTIAL→CANCEL_PENDING: user cancel · CANCEL_PENDING→CANCELLED: broker confirm · ACK→EXPIRED: validity lapse</t>
  </si>
  <si>
    <t>Terminal states (FILLED/REJECTED/CANCELLED/EXPIRED) accept no transitions; NEW→SENT without VALIDATED impossible by construction</t>
  </si>
  <si>
    <t>Every transition = OrderStateChanged event + DB write; on restart, non-terminal orders reconciled against broker before UI unlock</t>
  </si>
  <si>
    <t>Position Lifecycle</t>
  </si>
  <si>
    <t>FLAT, OPENING, OPEN, SCALING, REDUCING, CLOSING, CLOSED</t>
  </si>
  <si>
    <t>FLAT→OPENING: first fill of entry · OPENING→OPEN: entry complete · OPEN→SCALING: add fill · OPEN→REDUCING: partial exit fill · REDUCING→OPEN: stop reducing · OPEN/REDUCING→CLOSING: full-exit working · CLOSING→CLOSED: net_qty = 0</t>
  </si>
  <si>
    <t>CLOSED→anything except via new FLAT cycle; qty sign flip without passing FLAT is blocked (no accidental reversal)</t>
  </si>
  <si>
    <t>Derived from trades - machine is rebuilt deterministically on restart (Database Dictionary invariant)</t>
  </si>
  <si>
    <t>Broker Connection</t>
  </si>
  <si>
    <t>DISCONNECTED, AUTHENTICATING, CONNECTED, DEGRADED, RECONNECTING, LOCKED_OUT</t>
  </si>
  <si>
    <t>DISCONNECTED→AUTHENTICATING: connect · AUTHENTICATING→CONNECTED: session ok · CONNECTED→DEGRADED: heartbeat miss/partial API errors · DEGRADED→RECONNECTING: threshold · RECONNECTING→CONNECTED: restored (+reconcile) · AUTHENTICATING→LOCKED_OUT: repeated auth fail</t>
  </si>
  <si>
    <t>Order routing only in CONNECTED; DEGRADED allows exits but blocks new entries (configurable)</t>
  </si>
  <si>
    <t>State + last error persisted; LOCKED_OUT requires manual re-auth (protects against credential lockouts at broker)</t>
  </si>
  <si>
    <t>Trading Session</t>
  </si>
  <si>
    <t>PRE_OPEN, ACTIVE, ENTRY_BLOCKED, SQUARE_OFF_WINDOW, BLOCKED(kill), CLOSED</t>
  </si>
  <si>
    <t>PRE_OPEN→ACTIVE: market open · ACTIVE→ENTRY_BLOCKED: RK-04 daily-loss circuit · ACTIVE→SQUARE_OFF_WINDOW: T-buffer (RK-15) · any→BLOCKED: kill switch · BLOCKED→CLOSED: session end (never unblocks same session) · ACTIVE→CLOSED: market close</t>
  </si>
  <si>
    <t>BLOCKED cannot return to ACTIVE within the same session (kill switch is final); entries in SQUARE_OFF_WINDOW blocked for intraday products</t>
  </si>
  <si>
    <t>Session state in DB; restart mid-session resumes exact state (a kill switch survives an app restart)</t>
  </si>
  <si>
    <t>AI Workflow</t>
  </si>
  <si>
    <t>REQUESTED, DATA_ASSEMBLY, GENERATING, SCHEMA_CHECK, DELIVERED, REJECTED_SCHEMA, FEEDBACK_RECEIVED</t>
  </si>
  <si>
    <t>REQUESTED→DATA_ASSEMBLY: pipeline gathers verified inputs · DATA_ASSEMBLY→GENERATING: LLM call · GENERATING→SCHEMA_CHECK: output received · SCHEMA_CHECK→DELIVERED: AI-13 pass · SCHEMA_CHECK→REJECTED_SCHEMA: fail (retry ≤ 2, then error card) · DELIVERED→FEEDBACK_RECEIVED: user rates</t>
  </si>
  <si>
    <t>DELIVERED without SCHEMA_CHECK impossible; REJECTED outputs never rendered</t>
  </si>
  <si>
    <t>ai_outputs row per attempt with state; token spend logged even on rejects</t>
  </si>
  <si>
    <t>Alert Lifecycle</t>
  </si>
  <si>
    <t>DRAFT, ARMED, TRIGGERED, SNOOZED, DISABLED</t>
  </si>
  <si>
    <t>DRAFT→ARMED: valid rule saved · ARMED→TRIGGERED: condition true (fires once per bucket) · TRIGGERED→ARMED: re-arm (if repeating) · TRIGGERED/ARMED→SNOOZED: user · SNOOZED→ARMED: timer · any→DISABLED: user/expiry</t>
  </si>
  <si>
    <t>TRIGGERED cannot re-fire within dedup bucket</t>
  </si>
  <si>
    <t>Armed alerts re-armed on restart from DB; missed-while-offline evaluation on catch-up is explicit opt-in</t>
  </si>
  <si>
    <t>NOTES: All machines implemented with a shared typed state-machine utility in domain layer; every machine has an exhaustive property-based test (TS-01) proving illegal transitions raise. Diagrams generated from these definitions into docs/architecture/state/.</t>
  </si>
  <si>
    <t>Layer / Plugin Type</t>
  </si>
  <si>
    <t>Extension Interface (contract)</t>
  </si>
  <si>
    <t>Permissions Model</t>
  </si>
  <si>
    <t>Examples</t>
  </si>
  <si>
    <t>Plugin SDK (core)</t>
  </si>
  <si>
    <t>Discovery, lifecycle, sandboxing, permission grants, settings pages for plugins</t>
  </si>
  <si>
    <t>Python entry points group 'tradepilot.plugins'; manifest.toml (id, version, permissions, min core)</t>
  </si>
  <si>
    <t>Manifest-declared permissions approved by user at install; least-privilege default</t>
  </si>
  <si>
    <t>Market Scanner Plugin</t>
  </si>
  <si>
    <t>Custom scan conditions over cached data</t>
  </si>
  <si>
    <t>ScannerPort: register_conditions(), evaluate(universe, ctx) → matches</t>
  </si>
  <si>
    <t>read: quotes, candles; no order or network access</t>
  </si>
  <si>
    <t>Delivery-spike scanner, 52w-high proximity</t>
  </si>
  <si>
    <t>Broker Plugin</t>
  </si>
  <si>
    <t>Additional broker adapters beyond built-ins</t>
  </si>
  <si>
    <t>BrokerPort (same as internal adapters) + conformance test suite must pass</t>
  </si>
  <si>
    <t>network: broker domain only; secrets via core store; orders gated by core risk engine ALWAYS</t>
  </si>
  <si>
    <t>Regional/discount brokers</t>
  </si>
  <si>
    <t>Strategy Plugin</t>
  </si>
  <si>
    <t>Packaged strategies (rules DSL + custom detectors)</t>
  </si>
  <si>
    <t>StrategyPort: detectors(), signals(ctx); DSL bundle validated by core</t>
  </si>
  <si>
    <t>read: market data; write: signals only; cannot place orders</t>
  </si>
  <si>
    <t>Community playbooks, premium strategy packs</t>
  </si>
  <si>
    <t>News Plugin</t>
  </si>
  <si>
    <t>Alternative news/data feeds</t>
  </si>
  <si>
    <t>NewsPort: poll()/stream() → NormalisedNewsItem</t>
  </si>
  <si>
    <t>network: declared domains; rate-limited by core</t>
  </si>
  <si>
    <t>Regional-language news, Twitter/X curated feeds</t>
  </si>
  <si>
    <t>v2.1</t>
  </si>
  <si>
    <t>AI Plugin</t>
  </si>
  <si>
    <t>Custom analysis modules over the explainability schema</t>
  </si>
  <si>
    <t>AIPort: analyze(request, verified_data) → ai_output (schema-enforced)</t>
  </si>
  <si>
    <t>read: granted datasets; MUST emit evidence per AI-13; no execution authority</t>
  </si>
  <si>
    <t>Sector-specialist analyst, options-flow interpreter</t>
  </si>
  <si>
    <t>Analytics Plugin</t>
  </si>
  <si>
    <t>Custom journal/portfolio analytics + report sections</t>
  </si>
  <si>
    <t>AnalyticsPort: compute(dataset) → tables/figures; ReportSectionPort</t>
  </si>
  <si>
    <t>read: journal, portfolio (user-granted)</t>
  </si>
  <si>
    <t>Tax report pack, prop-desk scorecards</t>
  </si>
  <si>
    <t>Marketplace</t>
  </si>
  <si>
    <t>Distribution, signing, ratings, revenue share</t>
  </si>
  <si>
    <t>Signed packages (sigstore); core verifies signature + hash before load</t>
  </si>
  <si>
    <t>Unsigned plugins loadable only in dev mode with warning banner</t>
  </si>
  <si>
    <t>NOTES: Load chain: Plugin SDK → discovers manifest → user approves permissions → sandboxed import → conformance tests (brokers/strategies) → registered into ports. Hard rules: plugins can never bypass the risk engine, never read broker credentials, and AI plugins inherit the full explainability contract. Interfaces freeze at v2.0 with semver guarantees (breaking change = major bump).</t>
  </si>
  <si>
    <t>ADR ID</t>
  </si>
  <si>
    <t>Date</t>
  </si>
  <si>
    <t>Decision</t>
  </si>
  <si>
    <t>Context</t>
  </si>
  <si>
    <t>Options Considered</t>
  </si>
  <si>
    <t>Decision &amp; Rationale</t>
  </si>
  <si>
    <t>Consequences</t>
  </si>
  <si>
    <t>ADR-0001</t>
  </si>
  <si>
    <t>2026-07</t>
  </si>
  <si>
    <t>Modular monolith over microservices at start</t>
  </si>
  <si>
    <t>Solo/small team; trading needs low latency; ops budget minimal</t>
  </si>
  <si>
    <t>(a) Microservices day one (b) Plain monolith (c) Modular monolith with event bus + ports</t>
  </si>
  <si>
    <t>(c): microservice-ready seams without distributed-systems tax; extraction path proven by running data engine separately in a demo</t>
  </si>
  <si>
    <t>Discipline required on module boundaries (import-linter); some ceremony in ports</t>
  </si>
  <si>
    <t>Accepted</t>
  </si>
  <si>
    <t>ADR-0002</t>
  </si>
  <si>
    <t>PySide6 desktop-first UI</t>
  </si>
  <si>
    <t>Traders need dense, low-latency, multi-monitor UI; offline resilience</t>
  </si>
  <si>
    <t>(a) Web/Electron (b) PySide6/Qt (c) Tauri + Python backend</t>
  </si>
  <si>
    <t>(b): native performance for tick-heavy grids, mature docking, single-language stack; web client deferred to FastAPI layer (v2.0)</t>
  </si>
  <si>
    <t>Web/mobile reach delayed; Qt licensing = LGPL compliance care in packaging</t>
  </si>
  <si>
    <t>ADR-0003</t>
  </si>
  <si>
    <t>PostgreSQL primary + DuckDB/Parquet time-series lake</t>
  </si>
  <si>
    <t>Transactional integrity for orders vs analytical scans over billions of ticks</t>
  </si>
  <si>
    <t>(a) Postgres for everything (b) Timescale (c) Postgres + Parquet/DuckDB (d) SQLite-only</t>
  </si>
  <si>
    <t>(c): right tool per workload; SQLite mode retained for single-user zero-ops installs (same repositories)</t>
  </si>
  <si>
    <t>Two storage systems to back up; join across them happens in app layer</t>
  </si>
  <si>
    <t>ADR-0004</t>
  </si>
  <si>
    <t>In-process asyncio event bus (not Redis/Kafka initially)</t>
  </si>
  <si>
    <t>Event-driven design desired; infra footprint must stay small</t>
  </si>
  <si>
    <t>(a) Kafka (b) Redis Streams (c) asyncio in-process with outbox for durability-critical events</t>
  </si>
  <si>
    <t>(c): microsecond dispatch, zero ops; interface mirrors Redis Streams semantics so swap is mechanical when multi-process arrives</t>
  </si>
  <si>
    <t>Bus is a single-process boundary until v2.0 enterprise topology</t>
  </si>
  <si>
    <t>ADR-0005</t>
  </si>
  <si>
    <t>Human-in-the-loop AI: no autonomous execution, ever</t>
  </si>
  <si>
    <t>Regulatory prudence, user trust, product philosophy</t>
  </si>
  <si>
    <t>(a) Full auto-trading (b) Semi-auto with approvals (c) Decision-support only, approvals added later (v2.5 FE-11)</t>
  </si>
  <si>
    <t>(c): AI has zero execution authority; even v2.5 'one-click approve' keeps a human decision per order</t>
  </si>
  <si>
    <t>Excludes the algo-bot market segment deliberately; simplifies compliance posture</t>
  </si>
  <si>
    <t>ADR-0006</t>
  </si>
  <si>
    <t>Strategy rules as declarative DSL (JSON/YAML) not user Python</t>
  </si>
  <si>
    <t>Strategies must be validatable, sandboxable, marketplace-distributable</t>
  </si>
  <si>
    <t>(a) User-written Python (b) Declarative DSL + built-in detectors (c) Both</t>
  </si>
  <si>
    <t>(b) first: safety and verification; (c) arrives with Plugin SDK where Python detectors run sandboxed with conformance tests</t>
  </si>
  <si>
    <t>Some exotic logic inexpressible until plugin era; DSL design carries long-term compatibility burden</t>
  </si>
  <si>
    <t>ADR-0007</t>
  </si>
  <si>
    <t>License-server entitlements even for desktop</t>
  </si>
  <si>
    <t>Editions/revenue model require enforcement; offline trading must not break</t>
  </si>
  <si>
    <t>(a) License file only (b) Always-online check (c) Server check with 14-day offline grace</t>
  </si>
  <si>
    <t>(c): balances protection and trader reality (market hours &gt; licensing)</t>
  </si>
  <si>
    <t>Grace logic complexity; server availability matters at renewal boundaries</t>
  </si>
  <si>
    <t>ADR-0008</t>
  </si>
  <si>
    <t>(template row) Next decision</t>
  </si>
  <si>
    <t>What forces are in play</t>
  </si>
  <si>
    <t>Options with trade-offs</t>
  </si>
  <si>
    <t>Chosen option and why</t>
  </si>
  <si>
    <t>What becomes easier/harder</t>
  </si>
  <si>
    <t>Proposed</t>
  </si>
  <si>
    <t>NOTES: Process: any decision that is expensive to reverse gets an ADR before implementation; PRs reference ADR ids. Statuses: Proposed → Accepted → (Deprecated | Superseded by ADR-xxxx). Full MADR documents live in docs/adr/; this sheet is the index with executive summaries.</t>
  </si>
  <si>
    <t>Screen ID</t>
  </si>
  <si>
    <t>Area</t>
  </si>
  <si>
    <t>Screen</t>
  </si>
  <si>
    <t>Key Elements</t>
  </si>
  <si>
    <t>Primary Data</t>
  </si>
  <si>
    <t>Key Actions</t>
  </si>
  <si>
    <t>SCR-01</t>
  </si>
  <si>
    <t>Shell</t>
  </si>
  <si>
    <t>Main Workspace</t>
  </si>
  <si>
    <t>Container for all dockable panels with saved layouts</t>
  </si>
  <si>
    <t>Menu bar, layout tabs, status bar (connection, latency, risk state), global search</t>
  </si>
  <si>
    <t>Session state</t>
  </si>
  <si>
    <t>Switch layout, lock layout, global symbol search (Ctrl+K)</t>
  </si>
  <si>
    <t>Layouts: Trading / Research / Portfolio / Review</t>
  </si>
  <si>
    <t>SCR-02</t>
  </si>
  <si>
    <t>Login &amp; 2FA</t>
  </si>
  <si>
    <t>Authenticate user and unlock secret store</t>
  </si>
  <si>
    <t>Credential form, TOTP input, environment badge (LIVE/PAPER)</t>
  </si>
  <si>
    <t>users</t>
  </si>
  <si>
    <t>Login, reset, switch profile</t>
  </si>
  <si>
    <t>LIVE badge in red; paper in blue</t>
  </si>
  <si>
    <t>SCR-03</t>
  </si>
  <si>
    <t>Onboarding</t>
  </si>
  <si>
    <t>Broker Connection Wizard</t>
  </si>
  <si>
    <t>Connect broker accounts step-by-step</t>
  </si>
  <si>
    <t>Broker cards, API key form, OAuth webview, test-connection result</t>
  </si>
  <si>
    <t>broker_accounts</t>
  </si>
  <si>
    <t>Add/verify/remove broker, set primary</t>
  </si>
  <si>
    <t>Keys masked after save</t>
  </si>
  <si>
    <t>SCR-04</t>
  </si>
  <si>
    <t>Market</t>
  </si>
  <si>
    <t>Watchlist Panel</t>
  </si>
  <si>
    <t>Track instruments in groups with live quotes</t>
  </si>
  <si>
    <t>Virtualised grid, tag colours, mini-sparkline, notes popover</t>
  </si>
  <si>
    <t>quotes stream, watchlists</t>
  </si>
  <si>
    <t>Add/remove symbol, reorder, create alert, open chart, quick trade</t>
  </si>
  <si>
    <t>500 symbols without frame drops</t>
  </si>
  <si>
    <t>SCR-05</t>
  </si>
  <si>
    <t>Chart Panel</t>
  </si>
  <si>
    <t>Price + volume + market structure overlays (no classic indicators by default)</t>
  </si>
  <si>
    <t>Candles, volume, session levels, swing highs/lows, value area, drawings</t>
  </si>
  <si>
    <t>OHLC store + ticks</t>
  </si>
  <si>
    <t>Draw levels, mark structure, replay, snapshot to journal</t>
  </si>
  <si>
    <t>Multi-timeframe linking</t>
  </si>
  <si>
    <t>SCR-06</t>
  </si>
  <si>
    <t>Depth / Order Flow</t>
  </si>
  <si>
    <t>Level-2 depth and tape for execution quality</t>
  </si>
  <si>
    <t>5/20-depth ladder, tape, imbalance meter, session VWAP-as-context</t>
  </si>
  <si>
    <t>depth stream</t>
  </si>
  <si>
    <t>Click-trade from ladder (guarded)</t>
  </si>
  <si>
    <t>Read-only in paper replay</t>
  </si>
  <si>
    <t>SCR-07</t>
  </si>
  <si>
    <t>Order Ticket</t>
  </si>
  <si>
    <t>Compose and validate an order before send</t>
  </si>
  <si>
    <t>Side toggle, qty/price, product type, bracket fields, live risk verdict panel</t>
  </si>
  <si>
    <t>instruments, risk engine</t>
  </si>
  <si>
    <t>Validate, place, save as template</t>
  </si>
  <si>
    <t>Risk verdict must be PASS to enable Send</t>
  </si>
  <si>
    <t>SCR-08</t>
  </si>
  <si>
    <t>Order Book</t>
  </si>
  <si>
    <t>All orders with live states</t>
  </si>
  <si>
    <t>Grid grouped by state, reject reasons, latency column</t>
  </si>
  <si>
    <t>orders</t>
  </si>
  <si>
    <t>Modify, cancel, cancel-all, drill to journal</t>
  </si>
  <si>
    <t>Colour by state</t>
  </si>
  <si>
    <t>SCR-09</t>
  </si>
  <si>
    <t>Positions Panel</t>
  </si>
  <si>
    <t>Open positions and MTM</t>
  </si>
  <si>
    <t>Net/day split, P&amp;L cells (live), exposure bar, per-position risk</t>
  </si>
  <si>
    <t>positions</t>
  </si>
  <si>
    <t>Square-off, add bracket, hedge shortcut</t>
  </si>
  <si>
    <t>Kill switch button here (double confirm)</t>
  </si>
  <si>
    <t>SCR-10</t>
  </si>
  <si>
    <t>Holdings &amp; Allocation</t>
  </si>
  <si>
    <t>Long-term holdings analytics</t>
  </si>
  <si>
    <t>Allocation donut, sector weights, P&amp;L, dividend log, XIRR</t>
  </si>
  <si>
    <t>holdings, dividends</t>
  </si>
  <si>
    <t>Import CSV, tag positions, export</t>
  </si>
  <si>
    <t>Reuses logic from personal dashboard work</t>
  </si>
  <si>
    <t>SCR-11</t>
  </si>
  <si>
    <t>Risk Console</t>
  </si>
  <si>
    <t>Live view of limits, usage and breaches</t>
  </si>
  <si>
    <t>Limit gauges (loss, exposure, margin), breach log, stress test runner</t>
  </si>
  <si>
    <t>risk_limits, exposures</t>
  </si>
  <si>
    <t>Edit soft limits (role-gated), run stress scenario, kill switch</t>
  </si>
  <si>
    <t>Hard limits editable only in Admin</t>
  </si>
  <si>
    <t>SCR-12</t>
  </si>
  <si>
    <t>Strategy Studio</t>
  </si>
  <si>
    <t>Author and manage rule-based strategies</t>
  </si>
  <si>
    <t>Rule blocks (setup/trigger/invalidation/exit), validation output, version history</t>
  </si>
  <si>
    <t>strategies</t>
  </si>
  <si>
    <t>Create, validate, activate on paper, promote to live</t>
  </si>
  <si>
    <t>Live promotion requires backtest report attached</t>
  </si>
  <si>
    <t>SCR-13</t>
  </si>
  <si>
    <t>Backtest &amp; Replay</t>
  </si>
  <si>
    <t>Run backtests and replay sessions</t>
  </si>
  <si>
    <t>Config form, equity curve, drawdown chart, trade list, walk-forward matrix</t>
  </si>
  <si>
    <t>backtests, ohlc</t>
  </si>
  <si>
    <t>Run, compare runs, export report, replay day</t>
  </si>
  <si>
    <t>Deterministic seed shown on report</t>
  </si>
  <si>
    <t>SCR-14</t>
  </si>
  <si>
    <t>Assistant Panel</t>
  </si>
  <si>
    <t>Briefings, trade validation, Q&amp;A over own data</t>
  </si>
  <si>
    <t>Briefing card, trade score card with rationale &amp; violated rules, feedback buttons</t>
  </si>
  <si>
    <t>ai_outputs</t>
  </si>
  <si>
    <t>Ask, validate trade, rate output (👍/👎)</t>
  </si>
  <si>
    <t>Every claim links to source data; disclaimer footer</t>
  </si>
  <si>
    <t>SCR-15</t>
  </si>
  <si>
    <t>Fundamentals &amp; Events</t>
  </si>
  <si>
    <t>Company snapshot and event calendar</t>
  </si>
  <si>
    <t>Financials table, ratios, shareholding, earnings/eco calendar, corporate actions</t>
  </si>
  <si>
    <t>fundamentals, events</t>
  </si>
  <si>
    <t>Pin to watchlist note, set event alert</t>
  </si>
  <si>
    <t>As-of date on every figure</t>
  </si>
  <si>
    <t>SCR-16</t>
  </si>
  <si>
    <t>Trade Journal &amp; Review</t>
  </si>
  <si>
    <t>Review trades with context</t>
  </si>
  <si>
    <t>Timeline, chart snapshots, tags, R-multiple stats, mistakes taxonomy</t>
  </si>
  <si>
    <t>journal_entries</t>
  </si>
  <si>
    <t>Annotate, filter, weekly review checklist, export</t>
  </si>
  <si>
    <t>Feeds AI feedback loop</t>
  </si>
  <si>
    <t>SCR-17</t>
  </si>
  <si>
    <t>Alert Manager</t>
  </si>
  <si>
    <t>Manage alert rules and history</t>
  </si>
  <si>
    <t>Rule list, trigger history, channel status (desktop/Telegram)</t>
  </si>
  <si>
    <t>Create/edit/snooze/ack</t>
  </si>
  <si>
    <t>Dedup window configurable</t>
  </si>
  <si>
    <t>SCR-18</t>
  </si>
  <si>
    <t>App, data, hotkeys, themes, channels</t>
  </si>
  <si>
    <t>Sectioned forms, theme preview, hotkey recorder</t>
  </si>
  <si>
    <t>settings</t>
  </si>
  <si>
    <t>Save, export/import profile</t>
  </si>
  <si>
    <t>Light/Dark tokens; per-panel density</t>
  </si>
  <si>
    <t>SCR-19</t>
  </si>
  <si>
    <t>Admin Panel</t>
  </si>
  <si>
    <t>Users, roles, hard limits, audit viewer</t>
  </si>
  <si>
    <t>User grid, role matrix, hard-limit editor, audit search</t>
  </si>
  <si>
    <t>users, roles, audit_log</t>
  </si>
  <si>
    <t>Invite user, assign role, adjust hard limits (dual-confirm)</t>
  </si>
  <si>
    <t>Every change itself audit-logged</t>
  </si>
  <si>
    <t>SCR-20</t>
  </si>
  <si>
    <t>System</t>
  </si>
  <si>
    <t>Health Dashboard</t>
  </si>
  <si>
    <t>Connections, latency, queue depth, errors</t>
  </si>
  <si>
    <t>Service tiles, latency sparkline, reconnect log</t>
  </si>
  <si>
    <t>metrics</t>
  </si>
  <si>
    <t>Reconnect, view logs</t>
  </si>
  <si>
    <t>Red tile blocks new orders if order path degraded</t>
  </si>
  <si>
    <t>NOTES: Responsive rules: panels reflow at 3 breakpoints (compact &lt;1280px, standard, wide &gt;1920px); minimum panel sizes enforced; touch targets ≥ 32px for future tablet mode.</t>
  </si>
  <si>
    <t>Component ID</t>
  </si>
  <si>
    <t>Description / Props</t>
  </si>
  <si>
    <t>Used In (Screens)</t>
  </si>
  <si>
    <t>Theme / A11y Notes</t>
  </si>
  <si>
    <t>CMP-01</t>
  </si>
  <si>
    <t>Layout</t>
  </si>
  <si>
    <t>DockPanel</t>
  </si>
  <si>
    <t>Dockable, tabbable panel wrapper (title, actions, persistence key)</t>
  </si>
  <si>
    <t>All</t>
  </si>
  <si>
    <t>Focus ring; keyboard dock-move</t>
  </si>
  <si>
    <t>CMP-02</t>
  </si>
  <si>
    <t>SplitView / GridArea</t>
  </si>
  <si>
    <t>Resizable splitters with saved ratios</t>
  </si>
  <si>
    <t>Min sizes enforced</t>
  </si>
  <si>
    <t>CMP-03</t>
  </si>
  <si>
    <t>Data</t>
  </si>
  <si>
    <t>VirtualTable</t>
  </si>
  <si>
    <t>Virtualised grid: column chooser, sort, cell flash on tick, conditional colour rules</t>
  </si>
  <si>
    <t>SCR-04/08/09/10</t>
  </si>
  <si>
    <t>Flash respects reduced-motion</t>
  </si>
  <si>
    <t>CMP-04</t>
  </si>
  <si>
    <t>QuoteCell</t>
  </si>
  <si>
    <t>Price cell with up/down flash + change %</t>
  </si>
  <si>
    <t>SCR-04/06/09</t>
  </si>
  <si>
    <t>Colour-blind safe palette option</t>
  </si>
  <si>
    <t>CMP-05</t>
  </si>
  <si>
    <t>SparkLine</t>
  </si>
  <si>
    <t>Inline mini-chart for watchlist rows</t>
  </si>
  <si>
    <t>Canvas-based; ≤1ms paint</t>
  </si>
  <si>
    <t>CMP-06</t>
  </si>
  <si>
    <t>Charting</t>
  </si>
  <si>
    <t>StructureChart</t>
  </si>
  <si>
    <t>Candles + volume + level/zone drawing layers + session shading</t>
  </si>
  <si>
    <t>SCR-05/13</t>
  </si>
  <si>
    <t>GPU-accelerated; crosshair sync group</t>
  </si>
  <si>
    <t>CMP-07</t>
  </si>
  <si>
    <t>EquityCurve / DrawdownChart</t>
  </si>
  <si>
    <t>Backtest result visuals</t>
  </si>
  <si>
    <t>Export PNG/SVG</t>
  </si>
  <si>
    <t>CMP-08</t>
  </si>
  <si>
    <t>OrderTicketForm</t>
  </si>
  <si>
    <t>Validated ticket: side, qty, price, product, bracket; emits ValidateOrder</t>
  </si>
  <si>
    <t>LIVE mode shows red header</t>
  </si>
  <si>
    <t>CMP-09</t>
  </si>
  <si>
    <t>RiskVerdictBadge</t>
  </si>
  <si>
    <t>PASS/WARN/BLOCK with expandable rule results</t>
  </si>
  <si>
    <t>SCR-07/09/11</t>
  </si>
  <si>
    <t>BLOCK always includes reason text</t>
  </si>
  <si>
    <t>CMP-10</t>
  </si>
  <si>
    <t>DepthLadder</t>
  </si>
  <si>
    <t>Price ladder with bid/ask sizes and click-guard</t>
  </si>
  <si>
    <t>Double-click-to-arm option</t>
  </si>
  <si>
    <t>CMP-11</t>
  </si>
  <si>
    <t>LimitGauge</t>
  </si>
  <si>
    <t>Radial/linear gauge: usage vs limit with thresholds</t>
  </si>
  <si>
    <t>Announces breach via ARIA live region</t>
  </si>
  <si>
    <t>CMP-12</t>
  </si>
  <si>
    <t>RationaleCard</t>
  </si>
  <si>
    <t>AI output: verdict, confidence bar, evidence list with links, feedback buttons</t>
  </si>
  <si>
    <t>Confidence never shown without evidence</t>
  </si>
  <si>
    <t>CMP-13</t>
  </si>
  <si>
    <t>Forms</t>
  </si>
  <si>
    <t>SymbolSearch</t>
  </si>
  <si>
    <t>Fuzzy instrument search with exchange badges</t>
  </si>
  <si>
    <t>SCR-01/04/07</t>
  </si>
  <si>
    <t>Keyboard-first (Ctrl+K)</t>
  </si>
  <si>
    <t>CMP-14</t>
  </si>
  <si>
    <t>HotkeyRecorder</t>
  </si>
  <si>
    <t>Capture and validate hotkey bindings</t>
  </si>
  <si>
    <t>Conflict detection</t>
  </si>
  <si>
    <t>CMP-15</t>
  </si>
  <si>
    <t>Feedback</t>
  </si>
  <si>
    <t>ToastCenter</t>
  </si>
  <si>
    <t>Non-blocking notifications with severity + action</t>
  </si>
  <si>
    <t>Queue max 3; screen-reader friendly</t>
  </si>
  <si>
    <t>CMP-16</t>
  </si>
  <si>
    <t>ConfirmDialog</t>
  </si>
  <si>
    <t>Typed-confirmation dialog for destructive actions (kill switch, cancel-all)</t>
  </si>
  <si>
    <t>SCR-09/11/19</t>
  </si>
  <si>
    <t>Requires typing keyword for LIVE actions</t>
  </si>
  <si>
    <t>CMP-17</t>
  </si>
  <si>
    <t>Theming</t>
  </si>
  <si>
    <t>ThemeProvider</t>
  </si>
  <si>
    <t>Design tokens → QSS; light/dark + density; runtime switch</t>
  </si>
  <si>
    <t>Tokens: colour, spacing, radius, type scale</t>
  </si>
  <si>
    <t>CMP-18</t>
  </si>
  <si>
    <t>SnapshotViewer</t>
  </si>
  <si>
    <t>Chart snapshot with annotations</t>
  </si>
  <si>
    <t>Zoom + compare two snapshots</t>
  </si>
  <si>
    <t>Persona / Purpose</t>
  </si>
  <si>
    <t>Panel Arrangement</t>
  </si>
  <si>
    <t>Default Watch Universe</t>
  </si>
  <si>
    <t>Special Behaviours</t>
  </si>
  <si>
    <t>Beginner</t>
  </si>
  <si>
    <t>New user; guided, low-risk</t>
  </si>
  <si>
    <t>Single monitor: Watchlist (L) + Chart (C) + simplified Ticket (R); Positions strip (bottom)</t>
  </si>
  <si>
    <t>Nifty 50 constituents</t>
  </si>
  <si>
    <t>Paper mode default; tooltips on; advanced order types hidden; risk explainers verbose</t>
  </si>
  <si>
    <t>Professional</t>
  </si>
  <si>
    <t>Full-time discretionary trader</t>
  </si>
  <si>
    <t>Watchlist + 2 linked Charts + Depth + Ticket + Orders + Positions + Risk strip + AI panel (collapsible)</t>
  </si>
  <si>
    <t>User universe</t>
  </si>
  <si>
    <t>Hotkey trading armed; one-click ticket templates; latency readout in status bar</t>
  </si>
  <si>
    <t>Commodity Trader</t>
  </si>
  <si>
    <t>MCX session focus</t>
  </si>
  <si>
    <t>MCX watchlist + Chart (continuous contract) + Depth + Ticket + global cues panel (crude/gold intl. reference)</t>
  </si>
  <si>
    <t>MCX majors + INR pairs ref</t>
  </si>
  <si>
    <t>Session clock for evening session; expiry/rollover countdown; lot-value calculator inline</t>
  </si>
  <si>
    <t>Equity Trader</t>
  </si>
  <si>
    <t>Cash-market intraday/swing</t>
  </si>
  <si>
    <t>Sector heatmap + RS scanner + Watchlist + Chart + Ticket + Positions</t>
  </si>
  <si>
    <t>Nifty 200</t>
  </si>
  <si>
    <t>RS rank column on watchlist; delivery % column; circuit-band warnings</t>
  </si>
  <si>
    <t>Options Trader</t>
  </si>
  <si>
    <t>Index options execution</t>
  </si>
  <si>
    <t>Option chain (C) + underlying Chart + IV/OI panels + multi-leg Ticket + Greeks position grid</t>
  </si>
  <si>
    <t>NIFTY/BANKNIFTY chains</t>
  </si>
  <si>
    <t>Chain refresh 1 s; strategy payoff preview; expiry-day mode banner (links ST Time-Based/Expiry)</t>
  </si>
  <si>
    <t>Investor</t>
  </si>
  <si>
    <t>Long-term portfolio focus</t>
  </si>
  <si>
    <t>Holdings + Allocation + Dividend calendar + Fundamentals + News digest; no intraday panels</t>
  </si>
  <si>
    <t>Holdings + shortlist</t>
  </si>
  <si>
    <t>No order hotkeys; weekly review checklist widget; XIRR front and centre</t>
  </si>
  <si>
    <t>Analysis without execution</t>
  </si>
  <si>
    <t>Chart (large) + Scanner + Fundamentals + Events + Journal (read) + AI Research panel</t>
  </si>
  <si>
    <t>Scan results</t>
  </si>
  <si>
    <t>Order entry disabled entirely; annotation and snapshot tools maximised</t>
  </si>
  <si>
    <t>Multi-Monitor</t>
  </si>
  <si>
    <t>2-3 display power setup</t>
  </si>
  <si>
    <t>M1: Charts wall (2x2 linked); M2: Watchlist + Depth + Ticket + Orders/Positions; M3 (opt): Journal + AI + Health</t>
  </si>
  <si>
    <t>Per-monitor layout files; crosshair sync across monitors; panel teleport hotkey</t>
  </si>
  <si>
    <t>NOTES: All layouts are presets over the same dock system (CMP-01/02): users can fork any preset; forks are stored per profile and exportable. Every layout keeps the Risk strip and kill switch reachable within one click - non-negotiable.</t>
  </si>
  <si>
    <t>From</t>
  </si>
  <si>
    <t>Trigger / Action</t>
  </si>
  <si>
    <t>To</t>
  </si>
  <si>
    <t>Condition / Guard</t>
  </si>
  <si>
    <t>App start</t>
  </si>
  <si>
    <t>Launch</t>
  </si>
  <si>
    <t>Login (SCR-02)</t>
  </si>
  <si>
    <t>No valid session</t>
  </si>
  <si>
    <t>Session token remembered per profile (optional)</t>
  </si>
  <si>
    <t>Login</t>
  </si>
  <si>
    <t>Successful auth + 2FA</t>
  </si>
  <si>
    <t>Main Workspace (SCR-01)</t>
  </si>
  <si>
    <t>Secret store unlocked</t>
  </si>
  <si>
    <t>Restores last layout</t>
  </si>
  <si>
    <t>First run</t>
  </si>
  <si>
    <t>Broker Wizard (SCR-03)</t>
  </si>
  <si>
    <t>No broker configured</t>
  </si>
  <si>
    <t>Can skip to paper-only mode</t>
  </si>
  <si>
    <t>Ctrl+K / search select</t>
  </si>
  <si>
    <t>Chart (SCR-05) focused on symbol</t>
  </si>
  <si>
    <t>Also adds to 'Recent' watchlist group</t>
  </si>
  <si>
    <t>Watchlist row</t>
  </si>
  <si>
    <t>Double-click</t>
  </si>
  <si>
    <t>Chart (SCR-05)</t>
  </si>
  <si>
    <t>Chart panel link-group honours colour link</t>
  </si>
  <si>
    <t>Buy/Sell hotkey (B/S)</t>
  </si>
  <si>
    <t>Order Ticket (SCR-07) prefilled</t>
  </si>
  <si>
    <t>Trading enabled + broker connected</t>
  </si>
  <si>
    <t>Ticket opens docked next to chart</t>
  </si>
  <si>
    <t>Chart level drawing</t>
  </si>
  <si>
    <t>Right-click → 'Alert at level'</t>
  </si>
  <si>
    <t>Alert Manager (SCR-17) prefilled</t>
  </si>
  <si>
    <t>Level price auto-captured</t>
  </si>
  <si>
    <t>Send</t>
  </si>
  <si>
    <t>Order Book (SCR-08)</t>
  </si>
  <si>
    <t>Risk verdict = PASS</t>
  </si>
  <si>
    <t>BLOCK verdict keeps focus on ticket with reasons</t>
  </si>
  <si>
    <t>Order Book row</t>
  </si>
  <si>
    <t>Click order ID</t>
  </si>
  <si>
    <t>Journal entry (SCR-16)</t>
  </si>
  <si>
    <t>Order has fills</t>
  </si>
  <si>
    <t>Deep link with order UUID</t>
  </si>
  <si>
    <t>ConfirmDialog → Risk Console (SCR-11)</t>
  </si>
  <si>
    <t>Typed confirmation</t>
  </si>
  <si>
    <t>Session enters BLOCKED state banner</t>
  </si>
  <si>
    <t>Breach row click</t>
  </si>
  <si>
    <t>Audit viewer (SCR-19 section)</t>
  </si>
  <si>
    <t>Role: admin/owner</t>
  </si>
  <si>
    <t>Read-only for trader role</t>
  </si>
  <si>
    <t>Run backtest</t>
  </si>
  <si>
    <t>Backtest &amp; Replay (SCR-13)</t>
  </si>
  <si>
    <t>Strategy validates</t>
  </si>
  <si>
    <t>Result auto-linked back to strategy version</t>
  </si>
  <si>
    <t>Backtest report</t>
  </si>
  <si>
    <t>Promote to paper</t>
  </si>
  <si>
    <t>Strategy Studio (SCR-12)</t>
  </si>
  <si>
    <t>Report passes gate metrics</t>
  </si>
  <si>
    <t>Gates configured in Risk sheet</t>
  </si>
  <si>
    <t>Assistant briefing item</t>
  </si>
  <si>
    <t>Click evidence link</t>
  </si>
  <si>
    <t>Chart / Research screen with context</t>
  </si>
  <si>
    <t>Explainability requirement</t>
  </si>
  <si>
    <t>Any screen</t>
  </si>
  <si>
    <t>Connection lost</t>
  </si>
  <si>
    <t>Health Dashboard toast (SCR-20)</t>
  </si>
  <si>
    <t>WS heartbeat missed</t>
  </si>
  <si>
    <t>Order entry disabled while degraded</t>
  </si>
  <si>
    <t>Theme switch</t>
  </si>
  <si>
    <t>(stay)</t>
  </si>
  <si>
    <t>Applies live, no restart</t>
  </si>
  <si>
    <t>Role change</t>
  </si>
  <si>
    <t>(stay) + toast</t>
  </si>
  <si>
    <t>Dual confirmation</t>
  </si>
  <si>
    <t>Target user sees change on next action</t>
  </si>
  <si>
    <t>Journey</t>
  </si>
  <si>
    <t>Step</t>
  </si>
  <si>
    <t>User Action</t>
  </si>
  <si>
    <t>System Response</t>
  </si>
  <si>
    <t>User Goal / Feeling</t>
  </si>
  <si>
    <t>Failure Path</t>
  </si>
  <si>
    <t>J1 Daily Trading Day</t>
  </si>
  <si>
    <t>Pre-open</t>
  </si>
  <si>
    <t>Log in, open Trading layout</t>
  </si>
  <si>
    <t>Restores layout; reconciles orders/positions with broker</t>
  </si>
  <si>
    <t>Ready, in control</t>
  </si>
  <si>
    <t>Reconciliation mismatch → banner + diff view</t>
  </si>
  <si>
    <t>Read AI daily briefing</t>
  </si>
  <si>
    <t>Briefing with index structure, levels, events, watchlist highlights</t>
  </si>
  <si>
    <t>Oriented</t>
  </si>
  <si>
    <t>Data source stale → briefing marked DEGRADED</t>
  </si>
  <si>
    <t>Open</t>
  </si>
  <si>
    <t>Watch opening range on focus list</t>
  </si>
  <si>
    <t>Live ticks, session levels auto-drawn</t>
  </si>
  <si>
    <t>SCR-04/05</t>
  </si>
  <si>
    <t>Focused</t>
  </si>
  <si>
    <t>Feed drop → auto-reconnect, gap backfill</t>
  </si>
  <si>
    <t>Setup</t>
  </si>
  <si>
    <t>Mark structure level; set alert</t>
  </si>
  <si>
    <t>Alert armed at level</t>
  </si>
  <si>
    <t>SCR-05/17</t>
  </si>
  <si>
    <t>Patient</t>
  </si>
  <si>
    <t>Duplicate alert → dedup notice</t>
  </si>
  <si>
    <t>Trigger</t>
  </si>
  <si>
    <t>Alert fires; open prefilled ticket</t>
  </si>
  <si>
    <t>Risk engine validates size/exposure/loss headroom</t>
  </si>
  <si>
    <t>Decisive</t>
  </si>
  <si>
    <t>BLOCK verdict → reasons shown; can downsize</t>
  </si>
  <si>
    <t>Manage</t>
  </si>
  <si>
    <t>Attach bracket; monitor position</t>
  </si>
  <si>
    <t>OCO legs tracked; MTM live</t>
  </si>
  <si>
    <t>SCR-08/09</t>
  </si>
  <si>
    <t>Protected</t>
  </si>
  <si>
    <t>Broker rejects modify → retry policy + alert</t>
  </si>
  <si>
    <t>Close</t>
  </si>
  <si>
    <t>Exit hits target</t>
  </si>
  <si>
    <t>Fill event → journal auto-entry with snapshot</t>
  </si>
  <si>
    <t>Accomplished</t>
  </si>
  <si>
    <t>Partial fill at close → EOD square-off rule</t>
  </si>
  <si>
    <t>Review</t>
  </si>
  <si>
    <t>Evening: tag trade, rate AI validation</t>
  </si>
  <si>
    <t>Stats update; feedback stored for AI learning</t>
  </si>
  <si>
    <t>SCR-16/14</t>
  </si>
  <si>
    <t>Reflective</t>
  </si>
  <si>
    <t>J2 Onboarding</t>
  </si>
  <si>
    <t>Create profile, set 2FA</t>
  </si>
  <si>
    <t>Secret store initialised</t>
  </si>
  <si>
    <t>Safe</t>
  </si>
  <si>
    <t>Lost TOTP → recovery codes</t>
  </si>
  <si>
    <t>Connect broker via wizard</t>
  </si>
  <si>
    <t>Test order permissions in sandbox; store encrypted keys</t>
  </si>
  <si>
    <t>Confident</t>
  </si>
  <si>
    <t>Invalid key → inline broker error taxonomy</t>
  </si>
  <si>
    <t>Choose paper mode first</t>
  </si>
  <si>
    <t>Paper engine mirrors live data</t>
  </si>
  <si>
    <t>Low-risk start</t>
  </si>
  <si>
    <t>Learn</t>
  </si>
  <si>
    <t>Import watchlist CSV</t>
  </si>
  <si>
    <t>Symbols validated against instrument master</t>
  </si>
  <si>
    <t>Productive fast</t>
  </si>
  <si>
    <t>Unknown symbols → review list</t>
  </si>
  <si>
    <t>J3 Strategy Development</t>
  </si>
  <si>
    <t>Study range days in replay</t>
  </si>
  <si>
    <t>Replay session at chosen speed</t>
  </si>
  <si>
    <t>Curious</t>
  </si>
  <si>
    <t>Missing data day → data gap report</t>
  </si>
  <si>
    <t>Author</t>
  </si>
  <si>
    <t>Codify ORB rules in Studio</t>
  </si>
  <si>
    <t>Schema validation + dry-run signals</t>
  </si>
  <si>
    <t>Creative</t>
  </si>
  <si>
    <t>Rule conflict → validator pinpoints block</t>
  </si>
  <si>
    <t>Test</t>
  </si>
  <si>
    <t>Backtest with walk-forward</t>
  </si>
  <si>
    <t>Report: expectancy, drawdown, robustness</t>
  </si>
  <si>
    <t>Sceptical → convinced</t>
  </si>
  <si>
    <t>Fails gates → promotion blocked</t>
  </si>
  <si>
    <t>Deploy</t>
  </si>
  <si>
    <t>Promote to paper, then live</t>
  </si>
  <si>
    <t>Signals appear in Assistant with scores</t>
  </si>
  <si>
    <t>SCR-12/14</t>
  </si>
  <si>
    <t>Trust built</t>
  </si>
  <si>
    <t>Live divergence from backtest → drift alert</t>
  </si>
  <si>
    <t>J4 Portfolio Review (weekly)</t>
  </si>
  <si>
    <t>Open Portfolio layout</t>
  </si>
  <si>
    <t>Allocation, XIRR, dividend log refreshed</t>
  </si>
  <si>
    <t>Informed</t>
  </si>
  <si>
    <t>Price fetch fail → last-good with timestamp</t>
  </si>
  <si>
    <t>Act</t>
  </si>
  <si>
    <t>Rebalance note → orders queued for Monday</t>
  </si>
  <si>
    <t>Draft basket saved (not sent)</t>
  </si>
  <si>
    <t>Deliberate</t>
  </si>
  <si>
    <t>Standard</t>
  </si>
  <si>
    <t>Specification</t>
  </si>
  <si>
    <t>Rationale / Enforcement</t>
  </si>
  <si>
    <t>Color Palette</t>
  </si>
  <si>
    <t>Design tokens</t>
  </si>
  <si>
    <t>Dark: bg #121417, surface #1C1F24, text #E6E8EB; Light: bg #FAFBFC, surface #FFFFFF, text #1A1D21; accent #2F6FED; success #1DB954; danger #E5484D; warning #F5A623</t>
  </si>
  <si>
    <t>Tokens only - no hard-coded colors in panels; lint rule on QSS</t>
  </si>
  <si>
    <t>Semantic P&amp;L colors</t>
  </si>
  <si>
    <t>Profit green / loss red with color-blind-safe alternative palette (blue/orange) switchable</t>
  </si>
  <si>
    <t>Accessibility setting; persists per profile</t>
  </si>
  <si>
    <t>Environment signalling</t>
  </si>
  <si>
    <t>LIVE = red header accents; PAPER = blue; replay = purple</t>
  </si>
  <si>
    <t>Prevents the classic wrong-environment order</t>
  </si>
  <si>
    <t>Typography</t>
  </si>
  <si>
    <t>Type stack</t>
  </si>
  <si>
    <t>UI: Inter (fallback Segoe UI/system); Numbers: tabular-nums enforced on all price/qty cells; Code/logs: JetBrains Mono</t>
  </si>
  <si>
    <t>Tabular figures stop price columns from jittering</t>
  </si>
  <si>
    <t>Scale</t>
  </si>
  <si>
    <t>12/13/14/16/20/24 px scale; panel titles 13 semibold; data cells 13; min 11 anywhere</t>
  </si>
  <si>
    <t>Density presets (compact/comfortable) shift scale by 1 step</t>
  </si>
  <si>
    <t>Iconography</t>
  </si>
  <si>
    <t>Icon set</t>
  </si>
  <si>
    <t>Lucide icon set, 16/20 px grid, stroke 1.5; filled variants only for states (alert armed/triggered)</t>
  </si>
  <si>
    <t>Single set = consistent metaphors; custom icons follow same grid</t>
  </si>
  <si>
    <t>Accessibility</t>
  </si>
  <si>
    <t>Contrast &amp; focus</t>
  </si>
  <si>
    <t>WCAG 2.1 AA contrast (4.5:1 text); visible focus ring on every interactive element; full keyboard reachability</t>
  </si>
  <si>
    <t>Automated contrast check on token changes in CI</t>
  </si>
  <si>
    <t>Motion &amp; announcements</t>
  </si>
  <si>
    <t>Respect reduced-motion (disables cell flash animation, keeps color change); ARIA live regions announce risk breaches and fills</t>
  </si>
  <si>
    <t>Tick flash must never be the only signal</t>
  </si>
  <si>
    <t>Keyboard Shortcuts</t>
  </si>
  <si>
    <t>Global map</t>
  </si>
  <si>
    <t>Ctrl+K search; B/S buy-sell ticket; F2 modify; Del cancel (with guard); Ctrl+Shift+X kill switch (typed confirm); F9 panel maximise; Ctrl+1..9 layouts</t>
  </si>
  <si>
    <t>All remappable (CMP-14); conflicts detected; printable cheat-sheet auto-generated</t>
  </si>
  <si>
    <t>Safety rule</t>
  </si>
  <si>
    <t>No destructive action executes on a single bare keystroke - always modifier + confirm for LIVE</t>
  </si>
  <si>
    <t>Order-entry hotkeys must be explicitly armed per session</t>
  </si>
  <si>
    <t>Drag &amp; Drop</t>
  </si>
  <si>
    <t>Behaviours</t>
  </si>
  <si>
    <t>Symbols draggable: watchlist→chart (loads), →ticket (prefills), →alert (creates); rows reorder within lists; drop targets highlight on hover</t>
  </si>
  <si>
    <t>Esc cancels any drag; drops are undoable (Ctrl+Z) where state-changing</t>
  </si>
  <si>
    <t>Docking System</t>
  </si>
  <si>
    <t>Rules</t>
  </si>
  <si>
    <t>Panels dock to edges/tabs with live preview; float to separate OS window; magnetic snap 8 px; layouts saved per profile + named presets</t>
  </si>
  <si>
    <t>Kill switch/risk strip cannot be closed - only minimised</t>
  </si>
  <si>
    <t>Support</t>
  </si>
  <si>
    <t>Floating panel groups per monitor; per-monitor DPI awareness; layout remembers monitor topology and degrades gracefully if a display is missing</t>
  </si>
  <si>
    <t>Topology hash stored with layout; mismatch → best-fit remap dialog</t>
  </si>
  <si>
    <t>Feedback &amp; States</t>
  </si>
  <si>
    <t>Loading/empty/error</t>
  </si>
  <si>
    <t>Skeleton loaders &gt; spinners; every empty state teaches the next action; errors state cause + recovery action, never raw exceptions</t>
  </si>
  <si>
    <t>Copy reviewed against Error Code Catalog</t>
  </si>
  <si>
    <t>Confirmation UX</t>
  </si>
  <si>
    <t>Destructive actions</t>
  </si>
  <si>
    <t>Typed-keyword confirm for kill switch and cancel-all in LIVE; double-confirm for hard-limit changes (RK-18)</t>
  </si>
  <si>
    <t>Matches CMP-16 spec</t>
  </si>
  <si>
    <t>Table</t>
  </si>
  <si>
    <t>Column</t>
  </si>
  <si>
    <t>Key</t>
  </si>
  <si>
    <t>Null</t>
  </si>
  <si>
    <t>Default</t>
  </si>
  <si>
    <t>Index</t>
  </si>
  <si>
    <t>id</t>
  </si>
  <si>
    <t>UUID</t>
  </si>
  <si>
    <t>PK</t>
  </si>
  <si>
    <t>N</t>
  </si>
  <si>
    <t>gen</t>
  </si>
  <si>
    <t>User identifier</t>
  </si>
  <si>
    <t>username</t>
  </si>
  <si>
    <t>VARCHAR(64)</t>
  </si>
  <si>
    <t>UNIQUE</t>
  </si>
  <si>
    <t>Login name</t>
  </si>
  <si>
    <t>password_hash</t>
  </si>
  <si>
    <t>VARCHAR(255)</t>
  </si>
  <si>
    <t>argon2id hash</t>
  </si>
  <si>
    <t>totp_secret_enc</t>
  </si>
  <si>
    <t>BYTEA</t>
  </si>
  <si>
    <t>Y</t>
  </si>
  <si>
    <t>Encrypted TOTP seed</t>
  </si>
  <si>
    <t>role</t>
  </si>
  <si>
    <t>VARCHAR(16)</t>
  </si>
  <si>
    <t>'trader'</t>
  </si>
  <si>
    <t>owner / admin / trader / viewer</t>
  </si>
  <si>
    <t>created_at</t>
  </si>
  <si>
    <t>TIMESTAMPTZ</t>
  </si>
  <si>
    <t>now()</t>
  </si>
  <si>
    <t>user_id</t>
  </si>
  <si>
    <t>FK users</t>
  </si>
  <si>
    <t>IDX</t>
  </si>
  <si>
    <t>broker</t>
  </si>
  <si>
    <t>VARCHAR(24)</t>
  </si>
  <si>
    <t>zerodha / upstox / angelone / paper</t>
  </si>
  <si>
    <t>credentials_enc</t>
  </si>
  <si>
    <t>AES-256-GCM blob (API key/secret/tokens)</t>
  </si>
  <si>
    <t>is_primary</t>
  </si>
  <si>
    <t>BOOLEAN</t>
  </si>
  <si>
    <t>false</t>
  </si>
  <si>
    <t>Default routing account</t>
  </si>
  <si>
    <t>status</t>
  </si>
  <si>
    <t>'inactive'</t>
  </si>
  <si>
    <t>inactive / connected / error</t>
  </si>
  <si>
    <t>instruments</t>
  </si>
  <si>
    <t>BIGINT</t>
  </si>
  <si>
    <t>Internal instrument id</t>
  </si>
  <si>
    <t>symbol</t>
  </si>
  <si>
    <t>VARCHAR(32)</t>
  </si>
  <si>
    <t>IDX (sym,exch)</t>
  </si>
  <si>
    <t>Trading symbol</t>
  </si>
  <si>
    <t>exchange</t>
  </si>
  <si>
    <t>VARCHAR(8)</t>
  </si>
  <si>
    <t>NSE / BSE / NFO / MCX</t>
  </si>
  <si>
    <t>instrument_type</t>
  </si>
  <si>
    <t>VARCHAR(12)</t>
  </si>
  <si>
    <t>EQ / FUT / CE / PE / COM</t>
  </si>
  <si>
    <t>lot_size</t>
  </si>
  <si>
    <t>INT</t>
  </si>
  <si>
    <t>tick_size</t>
  </si>
  <si>
    <t>NUMERIC(10,4)</t>
  </si>
  <si>
    <t>0.05</t>
  </si>
  <si>
    <t>expiry</t>
  </si>
  <si>
    <t>DATE</t>
  </si>
  <si>
    <t>Derivatives only</t>
  </si>
  <si>
    <t>broker_tokens</t>
  </si>
  <si>
    <t>JSONB</t>
  </si>
  <si>
    <t>Per-broker instrument tokens map</t>
  </si>
  <si>
    <t>watchlists</t>
  </si>
  <si>
    <t>name</t>
  </si>
  <si>
    <t>watchlist_items</t>
  </si>
  <si>
    <t>watchlist_id</t>
  </si>
  <si>
    <t>PK,FK</t>
  </si>
  <si>
    <t>Composite PK with instrument_id</t>
  </si>
  <si>
    <t>instrument_id</t>
  </si>
  <si>
    <t>sort_order</t>
  </si>
  <si>
    <t>tag_color</t>
  </si>
  <si>
    <t>VARCHAR(9)</t>
  </si>
  <si>
    <t>Hex colour</t>
  </si>
  <si>
    <t>note</t>
  </si>
  <si>
    <t>TEXT</t>
  </si>
  <si>
    <t>Per-symbol note</t>
  </si>
  <si>
    <t>Internal order id</t>
  </si>
  <si>
    <t>broker_account_id</t>
  </si>
  <si>
    <t>FK</t>
  </si>
  <si>
    <t>broker_order_id</t>
  </si>
  <si>
    <t>UNIQUE (acct,boid)</t>
  </si>
  <si>
    <t>Broker-side id once ACKed</t>
  </si>
  <si>
    <t>side</t>
  </si>
  <si>
    <t>VARCHAR(4)</t>
  </si>
  <si>
    <t>BUY / SELL</t>
  </si>
  <si>
    <t>order_type</t>
  </si>
  <si>
    <t>MKT / LMT / SL / SLM</t>
  </si>
  <si>
    <t>qty</t>
  </si>
  <si>
    <t>price</t>
  </si>
  <si>
    <t>NUMERIC(14,4)</t>
  </si>
  <si>
    <t>Limit price</t>
  </si>
  <si>
    <t>trigger_price</t>
  </si>
  <si>
    <t>For SL types</t>
  </si>
  <si>
    <t>'NEW'</t>
  </si>
  <si>
    <t>State machine value</t>
  </si>
  <si>
    <t>parent_order_id</t>
  </si>
  <si>
    <t>FK orders</t>
  </si>
  <si>
    <t>Bracket/OCO parent</t>
  </si>
  <si>
    <t>strategy_id</t>
  </si>
  <si>
    <t>Originating strategy, if any</t>
  </si>
  <si>
    <t>placed_at</t>
  </si>
  <si>
    <t>trades</t>
  </si>
  <si>
    <t>Fill record</t>
  </si>
  <si>
    <t>order_id</t>
  </si>
  <si>
    <t>fill_qty</t>
  </si>
  <si>
    <t>fill_price</t>
  </si>
  <si>
    <t>fees</t>
  </si>
  <si>
    <t>NUMERIC(12,2)</t>
  </si>
  <si>
    <t>Brokerage + taxes computed</t>
  </si>
  <si>
    <t>filled_at</t>
  </si>
  <si>
    <t>Snapshot-free live position (rebuilt from trades)</t>
  </si>
  <si>
    <t>IDX (acct,instr)</t>
  </si>
  <si>
    <t>net_qty</t>
  </si>
  <si>
    <t>avg_price</t>
  </si>
  <si>
    <t>realized_pnl</t>
  </si>
  <si>
    <t>NUMERIC(14,2)</t>
  </si>
  <si>
    <t>holdings</t>
  </si>
  <si>
    <t>Composite PK with instrument</t>
  </si>
  <si>
    <t>avg_cost</t>
  </si>
  <si>
    <t>dividends</t>
  </si>
  <si>
    <t>Dividend log</t>
  </si>
  <si>
    <t>ex_date</t>
  </si>
  <si>
    <t>amount_per_share</t>
  </si>
  <si>
    <t>NUMERIC(12,4)</t>
  </si>
  <si>
    <t>UNIQUE(user,name,ver)</t>
  </si>
  <si>
    <t>version</t>
  </si>
  <si>
    <t>Immutable per version</t>
  </si>
  <si>
    <t>definition</t>
  </si>
  <si>
    <t>Validated rules DSL</t>
  </si>
  <si>
    <t>state</t>
  </si>
  <si>
    <t>'draft'</t>
  </si>
  <si>
    <t>draft / paper / live / retired</t>
  </si>
  <si>
    <t>signals</t>
  </si>
  <si>
    <t>Strategy output</t>
  </si>
  <si>
    <t>payload</t>
  </si>
  <si>
    <t>Setup context, levels, proposed risk</t>
  </si>
  <si>
    <t>generated_at</t>
  </si>
  <si>
    <t>risk_limits</t>
  </si>
  <si>
    <t>scope</t>
  </si>
  <si>
    <t>user / account / strategy</t>
  </si>
  <si>
    <t>scope_id</t>
  </si>
  <si>
    <t>limit_type</t>
  </si>
  <si>
    <t>max_daily_loss / max_position_pct / max_exposure / max_open_orders</t>
  </si>
  <si>
    <t>limit_value</t>
  </si>
  <si>
    <t>NUMERIC(16,4)</t>
  </si>
  <si>
    <t>is_hard</t>
  </si>
  <si>
    <t>true</t>
  </si>
  <si>
    <t>Hard = cannot override in session</t>
  </si>
  <si>
    <t>rule</t>
  </si>
  <si>
    <t>price/level/news condition</t>
  </si>
  <si>
    <t>'armed'</t>
  </si>
  <si>
    <t>armed / triggered / snoozed / disabled</t>
  </si>
  <si>
    <t>trade_id</t>
  </si>
  <si>
    <t>FK trades</t>
  </si>
  <si>
    <t>Null for manual notes</t>
  </si>
  <si>
    <t>snapshot_path</t>
  </si>
  <si>
    <t>Chart image file</t>
  </si>
  <si>
    <t>tags</t>
  </si>
  <si>
    <t>Setup, mistake taxonomy</t>
  </si>
  <si>
    <t>Briefings, validations, scores</t>
  </si>
  <si>
    <t>kind</t>
  </si>
  <si>
    <t>briefing / trade_validation / qa</t>
  </si>
  <si>
    <t>input_ref</t>
  </si>
  <si>
    <t>Data inputs used (explainability)</t>
  </si>
  <si>
    <t>output</t>
  </si>
  <si>
    <t>Verdict, confidence, rationale</t>
  </si>
  <si>
    <t>feedback</t>
  </si>
  <si>
    <t>SMALLINT</t>
  </si>
  <si>
    <t>-1 / 0 / +1 user rating</t>
  </si>
  <si>
    <t>audit_log</t>
  </si>
  <si>
    <t>seq</t>
  </si>
  <si>
    <t>BIGSERIAL</t>
  </si>
  <si>
    <t>Append-only sequence</t>
  </si>
  <si>
    <t>actor</t>
  </si>
  <si>
    <t>User or 'system'</t>
  </si>
  <si>
    <t>event_type</t>
  </si>
  <si>
    <t>VARCHAR(48)</t>
  </si>
  <si>
    <t>order.placed, risk.breach, auth.login ...</t>
  </si>
  <si>
    <t>Event details (secrets redacted)</t>
  </si>
  <si>
    <t>prev_hash</t>
  </si>
  <si>
    <t>CHAR(64)</t>
  </si>
  <si>
    <t>SHA-256 chain to previous row</t>
  </si>
  <si>
    <t>NOTES: Migrations: Alembic, one revision per PR, upgrade+downgrade required. Time-series OHLC/ticks live outside Postgres in DuckDB/Parquet (see Architecture). Backup: nightly logical dump + weekly full copy of Parquet lake; recovery drill quarterly (see Deployment Checklist). Indexing strategy: composite indexes shown; add partial index on orders(status) WHERE status IN ('NEW','SENT','ACK').</t>
  </si>
  <si>
    <t>Primary Key</t>
  </si>
  <si>
    <t>Foreign Keys</t>
  </si>
  <si>
    <t>Indexes</t>
  </si>
  <si>
    <t>Constraints</t>
  </si>
  <si>
    <t>Est. Rows @ 1yr</t>
  </si>
  <si>
    <t>Growth Notes</t>
  </si>
  <si>
    <t>Identity and role of every platform user</t>
  </si>
  <si>
    <t>id (UUID)</t>
  </si>
  <si>
    <t>UNIQUE(username)</t>
  </si>
  <si>
    <t>role IN (owner,admin,trader,viewer); username len ≥ 3</t>
  </si>
  <si>
    <t>1─* broker_accounts, watchlists, orders</t>
  </si>
  <si>
    <t>1-50</t>
  </si>
  <si>
    <t>Static (per-seat)</t>
  </si>
  <si>
    <t>Connected broker credentials + health</t>
  </si>
  <si>
    <t>user_id → users</t>
  </si>
  <si>
    <t>IDX(user_id), IDX(broker)</t>
  </si>
  <si>
    <t>UNIQUE(user_id, broker, client_code); one is_primary per user (partial unique)</t>
  </si>
  <si>
    <t>*─1 users; 1─* orders, positions</t>
  </si>
  <si>
    <t>1-10 / user</t>
  </si>
  <si>
    <t>Static</t>
  </si>
  <si>
    <t>Canonical instrument master across exchanges/brokers</t>
  </si>
  <si>
    <t>id (BIGINT)</t>
  </si>
  <si>
    <t>UNIQUE(symbol, exchange, expiry, strike, opt_type)</t>
  </si>
  <si>
    <t>tick_size &gt; 0; lot_size ≥ 1</t>
  </si>
  <si>
    <t>Referenced by orders, positions, watchlist_items, signals</t>
  </si>
  <si>
    <t>~120k</t>
  </si>
  <si>
    <t>Refresh daily; expiries archived monthly</t>
  </si>
  <si>
    <t>watchlists / watchlist_items</t>
  </si>
  <si>
    <t>User symbol groups with notes/tags</t>
  </si>
  <si>
    <t>id / (watchlist_id, instrument_id)</t>
  </si>
  <si>
    <t>user_id → users; instrument_id → instruments</t>
  </si>
  <si>
    <t>IDX(user_id)</t>
  </si>
  <si>
    <t>≤ 500 items per list (app-enforced)</t>
  </si>
  <si>
    <t>users 1─* watchlists 1─* items *─1 instruments</t>
  </si>
  <si>
    <t>~5k items</t>
  </si>
  <si>
    <t>Slow</t>
  </si>
  <si>
    <t>Every order intent + broker lifecycle state</t>
  </si>
  <si>
    <t>user, broker_account, instrument, parent_order, strategy</t>
  </si>
  <si>
    <t>IDX(status) partial WHERE active; UNIQUE(broker_account_id, broker_order_id); IDX(placed_at)</t>
  </si>
  <si>
    <t>qty &gt; 0; side IN (BUY,SELL); price required for LMT/SL</t>
  </si>
  <si>
    <t>1─* trades; self-ref parent (brackets); *─1 strategies</t>
  </si>
  <si>
    <t>~25k</t>
  </si>
  <si>
    <t>Partition by year at &gt;1M rows</t>
  </si>
  <si>
    <t>Immutable fill records (source of truth for P&amp;L)</t>
  </si>
  <si>
    <t>order_id → orders</t>
  </si>
  <si>
    <t>IDX(order_id), IDX(filled_at)</t>
  </si>
  <si>
    <t>fill_qty &gt; 0; NEVER updated after insert (trigger-guarded)</t>
  </si>
  <si>
    <t>*─1 orders; 1─0..1 journal_entries</t>
  </si>
  <si>
    <t>~40k</t>
  </si>
  <si>
    <t>Grows with activity; never purged (7y retention)</t>
  </si>
  <si>
    <t>Live derived positions (rebuildable)</t>
  </si>
  <si>
    <t>broker_account, instrument</t>
  </si>
  <si>
    <t>UNIQUE(broker_account_id, instrument_id)</t>
  </si>
  <si>
    <t>Rebuild-from-trades invariant checked nightly</t>
  </si>
  <si>
    <t>Derived from trades</t>
  </si>
  <si>
    <t>≤ open count</t>
  </si>
  <si>
    <t>Bounded</t>
  </si>
  <si>
    <t>holdings / dividends</t>
  </si>
  <si>
    <t>Long-term portfolio + income log</t>
  </si>
  <si>
    <t>(user, instrument) / id</t>
  </si>
  <si>
    <t>instrument_id → instruments</t>
  </si>
  <si>
    <t>IDX(ex_date)</t>
  </si>
  <si>
    <t>qty ≥ 0</t>
  </si>
  <si>
    <t>Feed XIRR + AI Portfolio Manager</t>
  </si>
  <si>
    <t>~200 / ~500</t>
  </si>
  <si>
    <t>strategies / signals</t>
  </si>
  <si>
    <t>Versioned playbook definitions and their outputs</t>
  </si>
  <si>
    <t>id / id</t>
  </si>
  <si>
    <t>signals.strategy_id → strategies</t>
  </si>
  <si>
    <t>UNIQUE(user,name,version); IDX(signals.generated_at)</t>
  </si>
  <si>
    <t>definition validates against DSL schema (app); versions immutable</t>
  </si>
  <si>
    <t>strategies 1─* signals; signals referenced by orders</t>
  </si>
  <si>
    <t>50 / ~100k</t>
  </si>
  <si>
    <t>Signals archived to Parquet after 90 days</t>
  </si>
  <si>
    <t>All configured limits (scoped)</t>
  </si>
  <si>
    <t>polymorphic scope_id</t>
  </si>
  <si>
    <t>IDX(scope, scope_id)</t>
  </si>
  <si>
    <t>limit_value &gt; 0; hard-limit changes only via RK-18 path (app+audit)</t>
  </si>
  <si>
    <t>Evaluated by risk engine</t>
  </si>
  <si>
    <t>~100</t>
  </si>
  <si>
    <t>Alert rules and lifecycle</t>
  </si>
  <si>
    <t>IDX(status)</t>
  </si>
  <si>
    <t>rule validates against alert schema</t>
  </si>
  <si>
    <t>Fire → notifications + audit</t>
  </si>
  <si>
    <t>~1k</t>
  </si>
  <si>
    <t>Trade journal + review metadata</t>
  </si>
  <si>
    <t>trade_id → trades</t>
  </si>
  <si>
    <t>IDX(trade_id); GIN(tags)</t>
  </si>
  <si>
    <t>Feeds analytics + AI feedback</t>
  </si>
  <si>
    <t>~10k</t>
  </si>
  <si>
    <t>Snapshots on disk, paths referenced</t>
  </si>
  <si>
    <t>Every AI artefact with inputs + feedback</t>
  </si>
  <si>
    <t>user implicit via kind context</t>
  </si>
  <si>
    <t>IDX(kind), IDX(created_at)</t>
  </si>
  <si>
    <t>output validates AI-13 schema (app gate)</t>
  </si>
  <si>
    <t>Joined to journal outcomes for AI-14 training</t>
  </si>
  <si>
    <t>~50k</t>
  </si>
  <si>
    <t>Archive to Parquet after 180 days</t>
  </si>
  <si>
    <t>Append-only, hash-chained system record</t>
  </si>
  <si>
    <t>seq (BIGSERIAL)</t>
  </si>
  <si>
    <t>IDX(event_type), IDX(created_at), IDX(actor)</t>
  </si>
  <si>
    <t>INSERT-only (REVOKE UPDATE/DELETE); prev_hash chain verified daily</t>
  </si>
  <si>
    <t>References all entities by id in payload</t>
  </si>
  <si>
    <t>~500k</t>
  </si>
  <si>
    <t>Partition monthly; 7y retention</t>
  </si>
  <si>
    <t>ohlc / ticks (lake)</t>
  </si>
  <si>
    <t>Time-series market data (outside Postgres)</t>
  </si>
  <si>
    <t>(instrument, ts) natural</t>
  </si>
  <si>
    <t>Parquet partition: symbol/date</t>
  </si>
  <si>
    <t>Immutable files; backfilled candles flagged</t>
  </si>
  <si>
    <t>Consumed by backtester, charts, AI</t>
  </si>
  <si>
    <t>~2 TB ticks/yr (300 sym)</t>
  </si>
  <si>
    <t>See Data Retention Policy</t>
  </si>
  <si>
    <t>NOTES: Column-level detail lives in the Database Schema sheet; this dictionary is the table-level contract. Sizing assumes single active trader, 300-symbol universe; multiply per seat for desks. All FKs ON DELETE RESTRICT except user-owned leaf tables (watchlist_items CASCADE).</t>
  </si>
  <si>
    <t>API ID</t>
  </si>
  <si>
    <t>Service</t>
  </si>
  <si>
    <t>Method</t>
  </si>
  <si>
    <t>Endpoint</t>
  </si>
  <si>
    <t>Request (summary)</t>
  </si>
  <si>
    <t>Response (summary)</t>
  </si>
  <si>
    <t>Rate Limit</t>
  </si>
  <si>
    <t>Error Codes</t>
  </si>
  <si>
    <t>Retry Policy</t>
  </si>
  <si>
    <t>API-001</t>
  </si>
  <si>
    <t>POST</t>
  </si>
  <si>
    <t>/api/v1/auth/login</t>
  </si>
  <si>
    <t>None</t>
  </si>
  <si>
    <t>username, password, totp</t>
  </si>
  <si>
    <t>JWT access+refresh, role</t>
  </si>
  <si>
    <t>10/min/IP</t>
  </si>
  <si>
    <t>AUTH-401, AUTH-423</t>
  </si>
  <si>
    <t>No retry; lockout window applies</t>
  </si>
  <si>
    <t>API-002</t>
  </si>
  <si>
    <t>/api/v1/auth/refresh</t>
  </si>
  <si>
    <t>Refresh</t>
  </si>
  <si>
    <t>refresh_token</t>
  </si>
  <si>
    <t>New access token</t>
  </si>
  <si>
    <t>60/min</t>
  </si>
  <si>
    <t>AUTH-401</t>
  </si>
  <si>
    <t>No retry; full re-login on failure</t>
  </si>
  <si>
    <t>API-003</t>
  </si>
  <si>
    <t>Brokers</t>
  </si>
  <si>
    <t>GET</t>
  </si>
  <si>
    <t>/api/v1/brokers</t>
  </si>
  <si>
    <t>JWT</t>
  </si>
  <si>
    <t>Configured broker accounts + health</t>
  </si>
  <si>
    <t>AUTHZ-403, SYS std codes</t>
  </si>
  <si>
    <t>GET: retry w/ backoff; mutations: only with Idempotency-Key</t>
  </si>
  <si>
    <t>API-004</t>
  </si>
  <si>
    <t>/api/v1/brokers/{broker}/connect</t>
  </si>
  <si>
    <t>credentials payload (write-only)</t>
  </si>
  <si>
    <t>status, capabilities</t>
  </si>
  <si>
    <t>5/min</t>
  </si>
  <si>
    <t>BRK-AUTH-01, CFG-INVALID-60</t>
  </si>
  <si>
    <t>No auto-retry; user-driven</t>
  </si>
  <si>
    <t>API-005</t>
  </si>
  <si>
    <t>/api/v1/instruments/search?q=</t>
  </si>
  <si>
    <t>query string</t>
  </si>
  <si>
    <t>instrument matches</t>
  </si>
  <si>
    <t>120/min</t>
  </si>
  <si>
    <t>API-006</t>
  </si>
  <si>
    <t>/api/v1/ohlc/{instrument}/{tf}</t>
  </si>
  <si>
    <t>from,to</t>
  </si>
  <si>
    <t>candle array</t>
  </si>
  <si>
    <t>API-007</t>
  </si>
  <si>
    <t>WS</t>
  </si>
  <si>
    <t>/ws/v1/quotes</t>
  </si>
  <si>
    <t>subscribe/unsubscribe messages</t>
  </si>
  <si>
    <t>tick stream (LTP, depth, OHLC)</t>
  </si>
  <si>
    <t>1 conn/user</t>
  </si>
  <si>
    <t>DATA-FEED-30</t>
  </si>
  <si>
    <t>Client auto-reconnect w/ backoff + resubscribe</t>
  </si>
  <si>
    <t>API-008</t>
  </si>
  <si>
    <t>/api/v1/orders</t>
  </si>
  <si>
    <t>instrument, side, type, qty, price, bracket</t>
  </si>
  <si>
    <t>order id, initial state, risk verdict</t>
  </si>
  <si>
    <t>RISK-BLK-10, BRK-RMS-02, BRK-MARGIN-03, ORD-DUP-21</t>
  </si>
  <si>
    <t>Idempotency-Key; network retry safe, rejects never retried</t>
  </si>
  <si>
    <t>API-009</t>
  </si>
  <si>
    <t>PATCH</t>
  </si>
  <si>
    <t>/api/v1/orders/{id}</t>
  </si>
  <si>
    <t>modifiable fields</t>
  </si>
  <si>
    <t>updated order</t>
  </si>
  <si>
    <t>ORD-STATE-20, BRK-RATE-04</t>
  </si>
  <si>
    <t>Retry on RATE with backoff; STATE never</t>
  </si>
  <si>
    <t>API-010</t>
  </si>
  <si>
    <t>DELETE</t>
  </si>
  <si>
    <t>cancellation state</t>
  </si>
  <si>
    <t>ORD-STATE-20</t>
  </si>
  <si>
    <t>Safe to retry (idempotent cancel)</t>
  </si>
  <si>
    <t>API-011</t>
  </si>
  <si>
    <t>/api/v1/session/kill-switch</t>
  </si>
  <si>
    <t>JWT+reauth</t>
  </si>
  <si>
    <t>confirmation phrase</t>
  </si>
  <si>
    <t>flatten report</t>
  </si>
  <si>
    <t>2/day soft</t>
  </si>
  <si>
    <t>RISK-KILL-11</t>
  </si>
  <si>
    <t>Never auto-retried; manual only</t>
  </si>
  <si>
    <t>API-012</t>
  </si>
  <si>
    <t>/api/v1/positions</t>
  </si>
  <si>
    <t>live positions + MTM</t>
  </si>
  <si>
    <t>API-013</t>
  </si>
  <si>
    <t>/api/v1/holdings</t>
  </si>
  <si>
    <t>holdings, allocation, XIRR</t>
  </si>
  <si>
    <t>API-014</t>
  </si>
  <si>
    <t>/api/v1/risk/limits</t>
  </si>
  <si>
    <t>limits + live usage</t>
  </si>
  <si>
    <t>API-015</t>
  </si>
  <si>
    <t>PUT</t>
  </si>
  <si>
    <t>/api/v1/risk/limits/{id}</t>
  </si>
  <si>
    <t>JWT(admin)</t>
  </si>
  <si>
    <t>limit_value (soft only via API)</t>
  </si>
  <si>
    <t>updated limit</t>
  </si>
  <si>
    <t>10/min</t>
  </si>
  <si>
    <t>API-016</t>
  </si>
  <si>
    <t>/api/v1/strategies</t>
  </si>
  <si>
    <t>definition JSON</t>
  </si>
  <si>
    <t>validation result, version</t>
  </si>
  <si>
    <t>30/min</t>
  </si>
  <si>
    <t>API-017</t>
  </si>
  <si>
    <t>/api/v1/backtests</t>
  </si>
  <si>
    <t>strategy_id, range, costs cfg, seed</t>
  </si>
  <si>
    <t>run id (async)</t>
  </si>
  <si>
    <t>6/min</t>
  </si>
  <si>
    <t>BT-DET-41</t>
  </si>
  <si>
    <t>No retry; determinism failure files defect</t>
  </si>
  <si>
    <t>API-018</t>
  </si>
  <si>
    <t>/api/v1/backtests/{id}</t>
  </si>
  <si>
    <t>status → report (metrics, trades)</t>
  </si>
  <si>
    <t>API-019</t>
  </si>
  <si>
    <t>/api/v1/assistant/briefing</t>
  </si>
  <si>
    <t>date, watchlist scope</t>
  </si>
  <si>
    <t>briefing doc + evidence refs</t>
  </si>
  <si>
    <t>12/day</t>
  </si>
  <si>
    <t>AI-SCHEMA-50, AI-BUDGET-51</t>
  </si>
  <si>
    <t>Auto-retry x2 on schema; none on budget</t>
  </si>
  <si>
    <t>API-020</t>
  </si>
  <si>
    <t>/api/v1/assistant/validate-trade</t>
  </si>
  <si>
    <t>proposed order + context</t>
  </si>
  <si>
    <t>score, verdict, rationale, violated rules</t>
  </si>
  <si>
    <t>60/day</t>
  </si>
  <si>
    <t>AI-SCHEMA-50, RISK-BLK-10</t>
  </si>
  <si>
    <t>Auto-retry x2 on schema fail</t>
  </si>
  <si>
    <t>API-021</t>
  </si>
  <si>
    <t>/api/v1/alerts</t>
  </si>
  <si>
    <t>rule JSON, channels</t>
  </si>
  <si>
    <t>alert id</t>
  </si>
  <si>
    <t>API-022</t>
  </si>
  <si>
    <t>/api/v1/journal?filters</t>
  </si>
  <si>
    <t>date/tag filters</t>
  </si>
  <si>
    <t>entries + stats</t>
  </si>
  <si>
    <t>API-023</t>
  </si>
  <si>
    <t>/api/v1/admin/audit?filters</t>
  </si>
  <si>
    <t>actor, type, range</t>
  </si>
  <si>
    <t>audit rows (paginated)</t>
  </si>
  <si>
    <t>API-024</t>
  </si>
  <si>
    <t>/api/v1/health</t>
  </si>
  <si>
    <t>component health, versions</t>
  </si>
  <si>
    <t>unlimited</t>
  </si>
  <si>
    <t>NOTES: Conventions: versioned base path /api/v1; errors follow RFC 7807 problem+json; all mutating endpoints idempotent via Idempotency-Key header; credentials fields are write-only (never returned). External broker/data APIs are catalogued per adapter in the Broker Integration sheet. Error codes reference the Error Code Catalog sheet; retry policies assume the Idempotency-Key convention.</t>
  </si>
  <si>
    <t>Config Key</t>
  </si>
  <si>
    <t>Scope</t>
  </si>
  <si>
    <t>Validation Rule</t>
  </si>
  <si>
    <t>Storage</t>
  </si>
  <si>
    <t>Restart Needed</t>
  </si>
  <si>
    <t>env.mode</t>
  </si>
  <si>
    <t>App</t>
  </si>
  <si>
    <t>enum</t>
  </si>
  <si>
    <t>paper</t>
  </si>
  <si>
    <t>paper | live | replay</t>
  </si>
  <si>
    <t>.env / launcher flag</t>
  </si>
  <si>
    <t>Yes</t>
  </si>
  <si>
    <t>Global execution environment; drives UI signalling (UX Standards)</t>
  </si>
  <si>
    <t>risk.per_trade_pct</t>
  </si>
  <si>
    <t>float</t>
  </si>
  <si>
    <t>0.75</t>
  </si>
  <si>
    <t>0 &lt; x ≤ 2.0 (hard ceiling)</t>
  </si>
  <si>
    <t>DB (risk_limits)</t>
  </si>
  <si>
    <t>No</t>
  </si>
  <si>
    <t>RK-02 sizing input; changes audit-logged</t>
  </si>
  <si>
    <t>risk.daily_loss_pct</t>
  </si>
  <si>
    <t>2.0</t>
  </si>
  <si>
    <t>0.5 ≤ x ≤ 5.0; increase via RK-18 flow</t>
  </si>
  <si>
    <t>RK-04 daily circuit</t>
  </si>
  <si>
    <t>risk.eod_squareoff_time</t>
  </si>
  <si>
    <t>Account</t>
  </si>
  <si>
    <t>time</t>
  </si>
  <si>
    <t>15:12 IST</t>
  </si>
  <si>
    <t>Within exchange session; ≥ 10 min before close</t>
  </si>
  <si>
    <t>DB</t>
  </si>
  <si>
    <t>RK-15 scheduler input</t>
  </si>
  <si>
    <t>data.primary_feed</t>
  </si>
  <si>
    <t>string</t>
  </si>
  <si>
    <t>zerodha</t>
  </si>
  <si>
    <t>Configured adapter id</t>
  </si>
  <si>
    <t>settings.db</t>
  </si>
  <si>
    <t>No (hot-swap)</t>
  </si>
  <si>
    <t>Market data source priority head</t>
  </si>
  <si>
    <t>data.feed_failover_order</t>
  </si>
  <si>
    <t>list</t>
  </si>
  <si>
    <t>[upstox]</t>
  </si>
  <si>
    <t>Known adapter ids, no duplicates</t>
  </si>
  <si>
    <t>Automatic data failover chain (DR sheet)</t>
  </si>
  <si>
    <t>data.conflation_hz</t>
  </si>
  <si>
    <t>int</t>
  </si>
  <si>
    <t>60</t>
  </si>
  <si>
    <t>10 ≤ x ≤ 120</t>
  </si>
  <si>
    <t>UI update coalescing rate (Market Data stage 6)</t>
  </si>
  <si>
    <t>data.tick_recording</t>
  </si>
  <si>
    <t>bool</t>
  </si>
  <si>
    <t>Recorder on/off (affects replay/backtest coverage)</t>
  </si>
  <si>
    <t>broker.&lt;id&gt;.rate_budget</t>
  </si>
  <si>
    <t>per broker ToS</t>
  </si>
  <si>
    <t>≤ broker published limit</t>
  </si>
  <si>
    <t>Client-side throttle under broker caps (SEC-18)</t>
  </si>
  <si>
    <t>ui.theme</t>
  </si>
  <si>
    <t>Profile</t>
  </si>
  <si>
    <t>dark</t>
  </si>
  <si>
    <t>dark | light | high-contrast</t>
  </si>
  <si>
    <t>profile.json</t>
  </si>
  <si>
    <t>Design tokens set</t>
  </si>
  <si>
    <t>ui.density</t>
  </si>
  <si>
    <t>comfortable</t>
  </si>
  <si>
    <t>compact | comfortable</t>
  </si>
  <si>
    <t>Type-scale shift (UX Standards)</t>
  </si>
  <si>
    <t>ui.pnl_palette</t>
  </si>
  <si>
    <t>classic</t>
  </si>
  <si>
    <t>classic | colorblind</t>
  </si>
  <si>
    <t>Accessibility palette</t>
  </si>
  <si>
    <t>ui.hotkeys.trading_armed</t>
  </si>
  <si>
    <t>Session</t>
  </si>
  <si>
    <t>Requires explicit arm each session in live</t>
  </si>
  <si>
    <t>memory</t>
  </si>
  <si>
    <t>UX safety rule - never persisted as true</t>
  </si>
  <si>
    <t>alerts.telegram.chat_id</t>
  </si>
  <si>
    <t>Verified by test message</t>
  </si>
  <si>
    <t>DB (encrypted)</t>
  </si>
  <si>
    <t>Notification channel</t>
  </si>
  <si>
    <t>ai.provider</t>
  </si>
  <si>
    <t>anthropic</t>
  </si>
  <si>
    <t>Configured provider ids</t>
  </si>
  <si>
    <t>LLM backend for narration</t>
  </si>
  <si>
    <t>ai.monthly_token_budget</t>
  </si>
  <si>
    <t>plan default</t>
  </si>
  <si>
    <t>&gt; 0; edition-capped</t>
  </si>
  <si>
    <t>license service</t>
  </si>
  <si>
    <t>Cost control; UI shows usage</t>
  </si>
  <si>
    <t>ai.briefing_time</t>
  </si>
  <si>
    <t>08:45 IST</t>
  </si>
  <si>
    <t>Before market open</t>
  </si>
  <si>
    <t>AI-01 schedule</t>
  </si>
  <si>
    <t>backtest.default_costs</t>
  </si>
  <si>
    <t>object</t>
  </si>
  <si>
    <t>India retail preset</t>
  </si>
  <si>
    <t>Schema-valid cost model</t>
  </si>
  <si>
    <t>Brokerage/STT/slippage preset pack</t>
  </si>
  <si>
    <t>storage.parquet_root</t>
  </si>
  <si>
    <t>path</t>
  </si>
  <si>
    <t>~/tradepilot/lake</t>
  </si>
  <si>
    <t>Writable; ≥ 50 GB free warning</t>
  </si>
  <si>
    <t>.env</t>
  </si>
  <si>
    <t>Time-series lake location</t>
  </si>
  <si>
    <t>backup.schedule</t>
  </si>
  <si>
    <t>cron</t>
  </si>
  <si>
    <t>0 21 * * 1-5</t>
  </si>
  <si>
    <t>Valid cron; outside market hours</t>
  </si>
  <si>
    <t>DR nightly backup trigger</t>
  </si>
  <si>
    <t>logging.level</t>
  </si>
  <si>
    <t>INFO</t>
  </si>
  <si>
    <t>DEBUG only in env.mode != live</t>
  </si>
  <si>
    <t>DEBUG in live is blocked (perf + leak risk)</t>
  </si>
  <si>
    <t>license.key</t>
  </si>
  <si>
    <t>Server-validated; 14-day offline grace</t>
  </si>
  <si>
    <t>keyring</t>
  </si>
  <si>
    <t>Edition entitlements (ADR-0007)</t>
  </si>
  <si>
    <t>NOTES: Precedence: session &gt; profile &gt; user(DB) &gt; app(settings.db) &gt; .env defaults. Every key is typed via pydantic-settings; invalid values fail fast at boot with the exact key named. Keys marked audit-relevant (risk.*, license.*) log every change to audit_log.</t>
  </si>
  <si>
    <t>Data Class</t>
  </si>
  <si>
    <t>Hot Retention</t>
  </si>
  <si>
    <t>Archive Strategy</t>
  </si>
  <si>
    <t>Purge Rule</t>
  </si>
  <si>
    <t>Legal / Rationale</t>
  </si>
  <si>
    <t>Trading records</t>
  </si>
  <si>
    <t>orders, trades, contract-note data</t>
  </si>
  <si>
    <t>7 years live DB</t>
  </si>
  <si>
    <t>Yearly partitions detached to archive DB after 2 y</t>
  </si>
  <si>
    <t>Never inside 7 y; owner-approved purge after</t>
  </si>
  <si>
    <t>Indian tax reassessment horizons; audit defensibility</t>
  </si>
  <si>
    <t>audit_log (hash-chained)</t>
  </si>
  <si>
    <t>7 years</t>
  </si>
  <si>
    <t>Monthly partitions + daily anchor hashes exported off-box</t>
  </si>
  <si>
    <t>No purge inside window by ANY role (Permissions sheet)</t>
  </si>
  <si>
    <t>Governance backbone; tamper evidence</t>
  </si>
  <si>
    <t>Tick data (lake)</t>
  </si>
  <si>
    <t>Raw normalised ticks (Parquet)</t>
  </si>
  <si>
    <t>2 years full</t>
  </si>
  <si>
    <t>Downsample to 1-min candles after 2 y; keep event-day ticks (expiry, budget days) 5 y</t>
  </si>
  <si>
    <t>Raw ticks &gt; 2 y purged after downsample verification</t>
  </si>
  <si>
    <t>Storage economics (~2 TB/yr) vs research value</t>
  </si>
  <si>
    <t>Candles</t>
  </si>
  <si>
    <t>1-min and above OHLC</t>
  </si>
  <si>
    <t>10 years</t>
  </si>
  <si>
    <t>Compacted Parquet, zstd</t>
  </si>
  <si>
    <t>None planned</t>
  </si>
  <si>
    <t>Cheap; core backtesting asset</t>
  </si>
  <si>
    <t>Journal &amp; snapshots</t>
  </si>
  <si>
    <t>journal_entries, chart images</t>
  </si>
  <si>
    <t>Indefinite (user data)</t>
  </si>
  <si>
    <t>Images &gt; 2 y moved to cold folder</t>
  </si>
  <si>
    <t>User-initiated delete only (export offered first)</t>
  </si>
  <si>
    <t>The trader's own intellectual capital</t>
  </si>
  <si>
    <t>AI outputs</t>
  </si>
  <si>
    <t>ai_outputs, prompts metadata</t>
  </si>
  <si>
    <t>180 days DB</t>
  </si>
  <si>
    <t>Parquet archive 2 y (training/audit of AI-14)</t>
  </si>
  <si>
    <t>Purged after 2 y except rows linked to journaled trades</t>
  </si>
  <si>
    <t>Model improvement vs storage; explainability trail kept with trades</t>
  </si>
  <si>
    <t>Logs (files)</t>
  </si>
  <si>
    <t>error/api/activity/trade jsonl</t>
  </si>
  <si>
    <t>Per Enterprise Logging sheet (30-180 d)</t>
  </si>
  <si>
    <t>Trade log archived 7 y with trading records</t>
  </si>
  <si>
    <t>Auto-purge on rotation schedule</t>
  </si>
  <si>
    <t>Ops need vs disk</t>
  </si>
  <si>
    <t>Market reference</t>
  </si>
  <si>
    <t>Instrument masters, corporate actions</t>
  </si>
  <si>
    <t>Current + 5 y history</t>
  </si>
  <si>
    <t>Yearly snapshot files</t>
  </si>
  <si>
    <t>None (small)</t>
  </si>
  <si>
    <t>Backtest reproducibility (point-in-time universe, ST-15)</t>
  </si>
  <si>
    <t>Credentials/secrets</t>
  </si>
  <si>
    <t>Broker tokens, API keys</t>
  </si>
  <si>
    <t>Life of connection</t>
  </si>
  <si>
    <t>Never archived, never backed up in plaintext form (encrypted blobs only)</t>
  </si>
  <si>
    <t>Immediate purge on account disconnect + key rotation</t>
  </si>
  <si>
    <t>SEC-06/19</t>
  </si>
  <si>
    <t>Personal data</t>
  </si>
  <si>
    <t>username, telegram id, preferences</t>
  </si>
  <si>
    <t>Life of account</t>
  </si>
  <si>
    <t>Included in user export (DPDP-style access right)</t>
  </si>
  <si>
    <t>Full erasure on account deletion EXCEPT trading/audit records retained pseudonymised for legal window</t>
  </si>
  <si>
    <t>SEC-17 / DPDP Act awareness</t>
  </si>
  <si>
    <t>Backups</t>
  </si>
  <si>
    <t>DB dumps, config exports, lake sync</t>
  </si>
  <si>
    <t>35 daily + 12 monthly + 3 yearly</t>
  </si>
  <si>
    <t>Encrypted off-box + monthly offline copy</t>
  </si>
  <si>
    <t>Rotation-based expiry</t>
  </si>
  <si>
    <t>DR sheet; 3-2-1 rule</t>
  </si>
  <si>
    <t>NOTES: Every class has an owner (Super Admin), an automated enforcement job (Scheduler) and a quarterly compliance report listing actual vs policy. Purges are themselves audit-logged with counts and class. User-facing summary of this policy ships in the User Manual (DOC-06).</t>
  </si>
  <si>
    <t>Family</t>
  </si>
  <si>
    <t>Setup / Concept</t>
  </si>
  <si>
    <t>Definition (codifiable)</t>
  </si>
  <si>
    <t>Direction</t>
  </si>
  <si>
    <t>Library Link</t>
  </si>
  <si>
    <t>Implementation Status</t>
  </si>
  <si>
    <t>Price Action</t>
  </si>
  <si>
    <t>Breakout</t>
  </si>
  <si>
    <t>Close beyond a defined range/level with expansion (body ≥ 1.3x 20-bar median)</t>
  </si>
  <si>
    <t>With break</t>
  </si>
  <si>
    <t>ST-10/11</t>
  </si>
  <si>
    <t>Planned v0.8</t>
  </si>
  <si>
    <t>Pullback</t>
  </si>
  <si>
    <t>Counter-move to a defined zone (prior swing, breakout level) within an intact sequence</t>
  </si>
  <si>
    <t>With trend</t>
  </si>
  <si>
    <t>ST-02</t>
  </si>
  <si>
    <t>Retest</t>
  </si>
  <si>
    <t>Return to a broken level that holds within tolerance band, rejection close</t>
  </si>
  <si>
    <t>ST-01</t>
  </si>
  <si>
    <t>Compression</t>
  </si>
  <si>
    <t>Contracting ranges: NR7, inside-bar clusters, overlapping candles ≥ N</t>
  </si>
  <si>
    <t>Neutral → break</t>
  </si>
  <si>
    <t>ST-11</t>
  </si>
  <si>
    <t>Range Expansion</t>
  </si>
  <si>
    <t>Bar range &gt; 2x 20-bar median with directional close</t>
  </si>
  <si>
    <t>With expansion</t>
  </si>
  <si>
    <t>ST-12</t>
  </si>
  <si>
    <t>Failed Breakout</t>
  </si>
  <si>
    <t>Break beyond level reversed back inside within N bars (traps)</t>
  </si>
  <si>
    <t>Counter-break</t>
  </si>
  <si>
    <t>ST-09</t>
  </si>
  <si>
    <t>Planned v1.0</t>
  </si>
  <si>
    <t>Market Structure</t>
  </si>
  <si>
    <t>HH/HL sequence</t>
  </si>
  <si>
    <t>Algorithmic swing labels (fractal N) forming higher highs + higher lows</t>
  </si>
  <si>
    <t>Long bias</t>
  </si>
  <si>
    <t>LH/LL sequence</t>
  </si>
  <si>
    <t>Mirror: lower highs + lower lows</t>
  </si>
  <si>
    <t>Short bias</t>
  </si>
  <si>
    <t>BOS (Break of Structure)</t>
  </si>
  <si>
    <t>Close beyond the most recent same-side swing extreme, continuing trend</t>
  </si>
  <si>
    <t>ST-01/02</t>
  </si>
  <si>
    <t>CHoCH (Change of Character)</t>
  </si>
  <si>
    <t>First close beyond the most recent opposite-side swing extreme, potential reversal</t>
  </si>
  <si>
    <t>Reversal signal</t>
  </si>
  <si>
    <t>Swing Failure</t>
  </si>
  <si>
    <t>New extreme by ≤ X ticks that closes back inside prior swing (SFP)</t>
  </si>
  <si>
    <t>Counter</t>
  </si>
  <si>
    <t>Auction Market</t>
  </si>
  <si>
    <t>Initial Balance</t>
  </si>
  <si>
    <t>First 60-min range; extensions and IB-inside days classified</t>
  </si>
  <si>
    <t>Framework</t>
  </si>
  <si>
    <t>ST-08</t>
  </si>
  <si>
    <t>Value Area</t>
  </si>
  <si>
    <t>70% volume region of prior session; acceptance/rejection logic</t>
  </si>
  <si>
    <t>Rotational</t>
  </si>
  <si>
    <t>ST-05</t>
  </si>
  <si>
    <t>POC</t>
  </si>
  <si>
    <t>Highest-volume price; magnet target inside balance</t>
  </si>
  <si>
    <t>Target logic</t>
  </si>
  <si>
    <t>Single Prints</t>
  </si>
  <si>
    <t>Thin-volume price stretches marking imbalanced moves; revisit behaviour</t>
  </si>
  <si>
    <t>ST-07</t>
  </si>
  <si>
    <t>Backlog v1.5</t>
  </si>
  <si>
    <t>Liquidity</t>
  </si>
  <si>
    <t>Liquidity Sweep</t>
  </si>
  <si>
    <t>Pool beyond obvious extremes taken then reclaimed with displacement</t>
  </si>
  <si>
    <t>Stop Hunt</t>
  </si>
  <si>
    <t>Sweep subtype: spike-and-reclaim through prior day extreme intraday</t>
  </si>
  <si>
    <t>Equal Highs</t>
  </si>
  <si>
    <t>≥ 2 highs within tolerance = resting buy-stop pool above</t>
  </si>
  <si>
    <t>Pool marker</t>
  </si>
  <si>
    <t>Equal Lows</t>
  </si>
  <si>
    <t>≥ 2 lows within tolerance = resting sell-stop pool below</t>
  </si>
  <si>
    <t>Time-Based</t>
  </si>
  <si>
    <t>Opening Range</t>
  </si>
  <si>
    <t>First 15/30-min range breakout with quality filter</t>
  </si>
  <si>
    <t>ST-10</t>
  </si>
  <si>
    <t>First 15 Minutes</t>
  </si>
  <si>
    <t>Open-type classification window (drive/test/rejection/auction)</t>
  </si>
  <si>
    <t>Closing Session</t>
  </si>
  <si>
    <t>Post-14:45 alignment continuation into close</t>
  </si>
  <si>
    <t>With day trend</t>
  </si>
  <si>
    <t>ST-16</t>
  </si>
  <si>
    <t>Expiry Day</t>
  </si>
  <si>
    <t>Index expiry behaviour: pin zones, unwinding windows (India weekly expiries)</t>
  </si>
  <si>
    <t>Specialised</t>
  </si>
  <si>
    <t>ST-16 ext</t>
  </si>
  <si>
    <t>Weekly Opening</t>
  </si>
  <si>
    <t>Monday gap/first-hour statistics vs prior weekly range</t>
  </si>
  <si>
    <t>Statistical</t>
  </si>
  <si>
    <t>ST-17</t>
  </si>
  <si>
    <t>Mean Reversion</t>
  </si>
  <si>
    <t>Fade of stretch beyond k range-units from session anchor in balance regime</t>
  </si>
  <si>
    <t>ST-05/17</t>
  </si>
  <si>
    <t>Volatility Expansion</t>
  </si>
  <si>
    <t>Regime gate enabling trend playbooks (meta)</t>
  </si>
  <si>
    <t>Meta</t>
  </si>
  <si>
    <t>Range Distribution</t>
  </si>
  <si>
    <t>Day-range percentile targets: expected remaining range given time elapsed</t>
  </si>
  <si>
    <t>Target model</t>
  </si>
  <si>
    <t>Session Statistics</t>
  </si>
  <si>
    <t>Hour-of-day behaviour maps driving entry windows</t>
  </si>
  <si>
    <t>NOTES: This taxonomy is the classification layer over the Strategy Library: each row is a codifiable concept the structure engine must detect; Library strategies (ST-xx) compose these concepts into full playbooks with risk rules. Implementation status ties to Release Planner versions.</t>
  </si>
  <si>
    <t>ID</t>
  </si>
  <si>
    <t>Theory (core idea)</t>
  </si>
  <si>
    <t>Entry Conditions</t>
  </si>
  <si>
    <t>Exit Conditions</t>
  </si>
  <si>
    <t>Risk Rules</t>
  </si>
  <si>
    <t>Position Sizing</t>
  </si>
  <si>
    <t>Suitable Conditions</t>
  </si>
  <si>
    <t>Advantages</t>
  </si>
  <si>
    <t>Limitations</t>
  </si>
  <si>
    <t>Validation &amp; Backtest Requirements</t>
  </si>
  <si>
    <t>Structure Break &amp; Retest</t>
  </si>
  <si>
    <t>Trend continues when a swing high/low breaks and the broken level holds as support/resistance on retest</t>
  </si>
  <si>
    <t>Break of confirmed swing level with expansion candle; wait for retest holding within tolerance band; trigger on rejection close</t>
  </si>
  <si>
    <t>Next opposing structure level or trailing behind new swing points; invalidate on close back through level</t>
  </si>
  <si>
    <t>Stop beyond retest extreme; skip if stop distance &gt; 1.5x median 5-day range unit</t>
  </si>
  <si>
    <t>Fixed fractional: risk 0.5-1.0R of equity per trade; qty = risk_amt / stop_distance</t>
  </si>
  <si>
    <t>Trending sessions, post-news directional days</t>
  </si>
  <si>
    <t>Objective levels; asymmetric R:R; works across timeframes</t>
  </si>
  <si>
    <t>Fails in chop; retest may never come (missed trades)</t>
  </si>
  <si>
    <t>Min 300 trades across 3 years incl. 2 regime shifts; walk-forward 6m/2m; slippage 1 tick + costs; report expectancy, MAE/MFE</t>
  </si>
  <si>
    <t>HH/HL Trend Framework</t>
  </si>
  <si>
    <t>Markets move in swing sequences; alignment of higher-highs/higher-lows defines tradeable trend state</t>
  </si>
  <si>
    <t>Enter pullback to prior swing zone while sequence intact on trading TF and higher TF agrees</t>
  </si>
  <si>
    <t>Exit on sequence violation (lower low in uptrend) or at measured swing projection</t>
  </si>
  <si>
    <t>No entries when TFs conflict; max 2 attempts per swing</t>
  </si>
  <si>
    <t>Volatility-scaled: risk unit / (swing depth)</t>
  </si>
  <si>
    <t>Clean swing markets (index futures, liquid large caps)</t>
  </si>
  <si>
    <t>Simple, rule-codable, regime-aware</t>
  </si>
  <si>
    <t>Subjective swing definition needs strict codification</t>
  </si>
  <si>
    <t>Codify swing algo (fractal N=2/3); sensitivity test N; 5-year sample; per-regime breakdown</t>
  </si>
  <si>
    <t>ST-03</t>
  </si>
  <si>
    <t>Support &amp; Resistance</t>
  </si>
  <si>
    <t>Level Reaction Fade/Follow</t>
  </si>
  <si>
    <t>Repeatedly tested levels concentrate resting orders; first touch reacts, broken levels flip roles</t>
  </si>
  <si>
    <t>Touch of pre-marked daily/weekly level with rejection pattern (fade) or acceptance beyond (follow)</t>
  </si>
  <si>
    <t>Fade: mid-range/opposing level. Follow: measured move; time stop 45 min if no progress</t>
  </si>
  <si>
    <t>Only pre-market marked levels tradeable; max 1 fade + 1 follow per level per day</t>
  </si>
  <si>
    <t>Fixed risk per level idea, split across the two attempts</t>
  </si>
  <si>
    <t>Range days for fades; trend days for follows</t>
  </si>
  <si>
    <t>Pre-planned = low decision load</t>
  </si>
  <si>
    <t>Level quality varies; needs day-type filter</t>
  </si>
  <si>
    <t>Level-marking must be algorithmic (prior day H/L, weekly H/L, gaps); tag day type in results</t>
  </si>
  <si>
    <t>ST-04</t>
  </si>
  <si>
    <t>Supply &amp; Demand</t>
  </si>
  <si>
    <t>Fresh Zone Entry</t>
  </si>
  <si>
    <t>Imbalanced departures leave unfilled institutional interest; first return to a fresh zone often reacts</t>
  </si>
  <si>
    <t>Price returns to untested zone formed by strong departure (&gt;= 2x average candle body run); limit entry at zone edge with confirmation option</t>
  </si>
  <si>
    <t>Opposing zone or 2R minimum; invalidate on full zone consumption</t>
  </si>
  <si>
    <t>Zone must be fresh (0 prior touches); age &lt; 20 sessions; stop beyond zone</t>
  </si>
  <si>
    <t>Risk unit / zone height; skip zones taller than 1.2x daily range unit</t>
  </si>
  <si>
    <t>Instruments with institutional flow; higher TFs</t>
  </si>
  <si>
    <t>Clear invalidation; good R:R</t>
  </si>
  <si>
    <t>Zone-drawing rules critical; many zones fail in strong trends</t>
  </si>
  <si>
    <t>Zone detection fully algorithmic; test touch-count and age filters; compare confirmation vs limit entries</t>
  </si>
  <si>
    <t>Volume Profile</t>
  </si>
  <si>
    <t>Value Area Rotation</t>
  </si>
  <si>
    <t>Price accepted inside value rotates between VAH/VAL; rejection at extremes returns to POC</t>
  </si>
  <si>
    <t>Open within prior value; fade move to VAH/VAL on rejection print back inside</t>
  </si>
  <si>
    <t>Target POC then opposite value extreme; exit on acceptance outside value (2 consecutive 30-min closes)</t>
  </si>
  <si>
    <t>No trades on open-drive days (open outside value + no return)</t>
  </si>
  <si>
    <t>Half size vs trend strategies (mean-reversion tail risk)</t>
  </si>
  <si>
    <t>Balanced/rotational days</t>
  </si>
  <si>
    <t>Statistically frequent day type; defined targets</t>
  </si>
  <si>
    <t>Loses badly on trend days without day-type filter</t>
  </si>
  <si>
    <t>Build profile from tick/1-min volume; validate day-type classifier accuracy separately; 4+ years intraday data</t>
  </si>
  <si>
    <t>ST-06</t>
  </si>
  <si>
    <t>Order Flow</t>
  </si>
  <si>
    <t>Absorption Reversal</t>
  </si>
  <si>
    <t>Large passive volume absorbing aggressive market orders at a level signals exhaustion</t>
  </si>
  <si>
    <t>At key level: delta divergence + high volume with no price progress (absorption print); enter against exhausted side on confirmation</t>
  </si>
  <si>
    <t>Prior HVN/structure level; scratch fast if absorption fails (new extreme)</t>
  </si>
  <si>
    <t>Stop 1 tick beyond absorption bar; max 3 attempts/day on this setup</t>
  </si>
  <si>
    <t>Small fixed size (execution-quality strategy)</t>
  </si>
  <si>
    <t>Liquid futures/index options underlying with depth+tape data</t>
  </si>
  <si>
    <t>Early entries, tight stops</t>
  </si>
  <si>
    <t>Needs quality L2/tape feed; discretion hard to fully codify</t>
  </si>
  <si>
    <t>Requires recorded depth data; forward-test on replay before any live; measure fill quality vs signal</t>
  </si>
  <si>
    <t>Auction Market Theory</t>
  </si>
  <si>
    <t>Balance → Imbalance Transition</t>
  </si>
  <si>
    <t>Markets alternate between balance (rotation) and imbalance (trend); the break from multi-day balance is high-energy</t>
  </si>
  <si>
    <t>3+ day overlapping value = balance; enter on range extension beyond balance extremes with acceptance (close outside)</t>
  </si>
  <si>
    <t>Measured balance-width projection; trail on new value formation</t>
  </si>
  <si>
    <t>No fade of a confirmed imbalance day; abandon if price re-enters balance</t>
  </si>
  <si>
    <t>Full risk unit (trend regime)</t>
  </si>
  <si>
    <t>After compression / low-volatility clusters</t>
  </si>
  <si>
    <t>Captures the biggest directional days</t>
  </si>
  <si>
    <t>Infrequent signals; patience-intensive</t>
  </si>
  <si>
    <t>Detect balance algorithmically (value overlap %); 8-10 yrs daily+intraday; measure fat-tail capture vs buy&amp;hold days</t>
  </si>
  <si>
    <t>Market Profile</t>
  </si>
  <si>
    <t>Open-Type Playbook</t>
  </si>
  <si>
    <t>The first 30-60 min open type (drive, test-drive, rejection-reverse, auction) statistically frames the day</t>
  </si>
  <si>
    <t>Classify open type by IB behaviour vs prior value/close; apply matching playbook entry (e.g., open-drive pullback entry)</t>
  </si>
  <si>
    <t>Playbook-specific: IB extension targets or return-to-value</t>
  </si>
  <si>
    <t>One playbook per day; stop = playbook-defined invalidation</t>
  </si>
  <si>
    <t>Scaled by open-type historical win rate</t>
  </si>
  <si>
    <t>Index futures with reliable session structure</t>
  </si>
  <si>
    <t>Framework for the whole session, not one trade</t>
  </si>
  <si>
    <t>Classifier errors early in session are costly</t>
  </si>
  <si>
    <t>Backtest classifier on 5 yrs; publish confusion matrix; per-open-type P&amp;L attribution</t>
  </si>
  <si>
    <t>Liquidity Concepts</t>
  </si>
  <si>
    <t>Liquidity Sweep Reversal</t>
  </si>
  <si>
    <t>Stops cluster beyond obvious equal highs/lows; sweeps of those pools followed by sharp reclaim signal reversal</t>
  </si>
  <si>
    <t>Marked liquidity pool (equal highs/lows, prior day extreme) swept by &lt;= X ticks then reclaimed within N bars with displacement</t>
  </si>
  <si>
    <t>First opposing liquidity pool; move stop to BE after 1R</t>
  </si>
  <si>
    <t>Stop beyond sweep extreme; no trade if sweep exceeds tolerance (real breakout)</t>
  </si>
  <si>
    <t>Risk unit / sweep-to-reclaim distance</t>
  </si>
  <si>
    <t>Ranging-to-reversal contexts, session opens</t>
  </si>
  <si>
    <t>Precise invalidation; popular pools are objective</t>
  </si>
  <si>
    <t>Crowded concept; parameters (X, N) fragile</t>
  </si>
  <si>
    <t>Grid-search X/N with walk-forward to expose overfit; test on out-of-sample instruments</t>
  </si>
  <si>
    <t>ORB with Range-Quality Filter</t>
  </si>
  <si>
    <t>Break of a defined opening range continues when the range is narrow relative to recent volatility</t>
  </si>
  <si>
    <t>OR = first 15/30 min; enter stop order on break only if OR width &lt; 0.6x 10-day median and gap context agrees</t>
  </si>
  <si>
    <t>1x-1.5x OR width targets; time-based exit by 14:30 if unrealised</t>
  </si>
  <si>
    <t>One re-entry max after failed break; daily loss cap applies first</t>
  </si>
  <si>
    <t>Risk unit / OR width</t>
  </si>
  <si>
    <t>News-light trending opens</t>
  </si>
  <si>
    <t>Simple, fully mechanical, well-studied</t>
  </si>
  <si>
    <t>Whipsaw on wide/volatile opens without filter</t>
  </si>
  <si>
    <t>Test 15 vs 30-min OR; filter ablation study; include opening slippage model (wider spreads)</t>
  </si>
  <si>
    <t>Breakout Logic</t>
  </si>
  <si>
    <t>Range Compression Breakout (NR7-style)</t>
  </si>
  <si>
    <t>Volatility contraction precedes expansion; narrowest range in N days sets up directional break</t>
  </si>
  <si>
    <t>Day range narrowest of last 7 (NR7) or inside-day cluster; enter break of that day's extreme next session</t>
  </si>
  <si>
    <t>Opposite extreme = stop-and-reverse option; else 2R target or 2-day time stop</t>
  </si>
  <si>
    <t>Skip if event day (earnings/eco) next session</t>
  </si>
  <si>
    <t>Risk unit / setup-day range</t>
  </si>
  <si>
    <t>Liquid equities and index futures</t>
  </si>
  <si>
    <t>Purely statistical; no discretion</t>
  </si>
  <si>
    <t>Direction unknown; both-side orders need OCO</t>
  </si>
  <si>
    <t>Decade-long daily data test; per-sector results; verify edge net of costs (thin edges die on fees)</t>
  </si>
  <si>
    <t>Session Volatility Regime Shift</t>
  </si>
  <si>
    <t>When realised 5-day range unit expands &gt; threshold vs 20-day, continuation strategies outperform mean reversion</t>
  </si>
  <si>
    <t>Regime flag ON: only trend playbooks enabled; entry via ST-01/ST-02 triggers</t>
  </si>
  <si>
    <t>Per-underlying trailing based on range unit multiples</t>
  </si>
  <si>
    <t>Regime OFF disables trend entries entirely (meta-rule)</t>
  </si>
  <si>
    <t>Range-unit-scaled sizing across all strategies</t>
  </si>
  <si>
    <t>All markets (meta-layer)</t>
  </si>
  <si>
    <t>Prevents strategy-regime mismatch</t>
  </si>
  <si>
    <t>Lagging at regime turns</t>
  </si>
  <si>
    <t>Test as an overlay: same strategies with/without regime gate; report regime-classification lead/lag</t>
  </si>
  <si>
    <t>ST-13</t>
  </si>
  <si>
    <t>Gap Trading</t>
  </si>
  <si>
    <t>Gap Classification Playbook</t>
  </si>
  <si>
    <t>Gaps behave by type: common gaps fill; breakaway gaps (from bases, with catalyst) run</t>
  </si>
  <si>
    <t>Classify at open: gap % vs 20-day range unit, position vs prior base, news flag; fade small in-range gaps toward fill, follow large base-escape gaps</t>
  </si>
  <si>
    <t>Fade: gap fill (prior close). Follow: 1.5x gap size or structure trail</t>
  </si>
  <si>
    <t>No fades on gaps &gt; 1.5x range unit; no follows without base context</t>
  </si>
  <si>
    <t>Inverse to gap size for fades; standard unit for follows</t>
  </si>
  <si>
    <t>Cash-equity opens, index futures</t>
  </si>
  <si>
    <t>Exploits well-documented open inefficiencies</t>
  </si>
  <si>
    <t>Catalyst tagging needs news data; opens are slippage-heavy</t>
  </si>
  <si>
    <t>Separate stats per gap class; realistic open-auction fill model mandatory; include partial-fill handling</t>
  </si>
  <si>
    <t>ST-14</t>
  </si>
  <si>
    <t>Multi-Timeframe</t>
  </si>
  <si>
    <t>HTF Context + LTF Trigger</t>
  </si>
  <si>
    <t>Trade only when higher-timeframe location (level/zone/value) and lower-timeframe trigger align</t>
  </si>
  <si>
    <t>Weekly/daily level or fresh zone reached AND intraday structure shift (ST-02 style) in that direction</t>
  </si>
  <si>
    <t>HTF-derived targets; LTF trail management</t>
  </si>
  <si>
    <t>No LTF entry without HTF context flag = ON</t>
  </si>
  <si>
    <t>Standard unit; allow pyramid 1 add after 1R</t>
  </si>
  <si>
    <t>All liquid instruments</t>
  </si>
  <si>
    <t>Filters most low-quality signals</t>
  </si>
  <si>
    <t>Fewer trades; requires two synchronized engines</t>
  </si>
  <si>
    <t>Ablation: LTF-only vs MTF-gated; measure signal reduction vs expectancy gain</t>
  </si>
  <si>
    <t>ST-15</t>
  </si>
  <si>
    <t>Relative Strength</t>
  </si>
  <si>
    <t>RS Leader/Laggard Rotation</t>
  </si>
  <si>
    <t>Instruments strongly out/under-performing their index over lookback continue short-term</t>
  </si>
  <si>
    <t>Rank sector/large-cap universe by 20-day return vs index; long top decile on index-level pullback days; avoid/short bottom decile on index strength</t>
  </si>
  <si>
    <t>Rebalance weekly; exit on rank decay below threshold</t>
  </si>
  <si>
    <t>Max 20% of book per name; sector cap 40%</t>
  </si>
  <si>
    <t>Equal risk-weight across basket</t>
  </si>
  <si>
    <t>Swing horizon (3-15 days), stock universe</t>
  </si>
  <si>
    <t>Diversified, systematic, low screen time</t>
  </si>
  <si>
    <t>Turnover costs; crowded factor at times</t>
  </si>
  <si>
    <t>Point-in-time universe (no survivorship bias); include costs+taxes; 10-yr sample; decile monotonicity check</t>
  </si>
  <si>
    <t>Session-Based</t>
  </si>
  <si>
    <t>Session Bias &amp; Time-of-Day Map</t>
  </si>
  <si>
    <t>Each session hour has distinct statistical behaviour (open volatility, midday drift, closing auctions)</t>
  </si>
  <si>
    <t>Time-window rules: e.g., avoid fresh entries 12:00-13:30; closing-drive continuation entry after 14:45 alignment with day trend</t>
  </si>
  <si>
    <t>All positions decided/managed relative to session clock; hard EOD flat rule for intraday book</t>
  </si>
  <si>
    <t>No intraday position past square-off time (broker + internal)</t>
  </si>
  <si>
    <t>Standard unit; reduced size in low-liquidity windows</t>
  </si>
  <si>
    <t>Intraday trading of index futures/liquid stocks</t>
  </si>
  <si>
    <t>Aligns behaviour with liquidity reality</t>
  </si>
  <si>
    <t>Calendar effects drift over years</t>
  </si>
  <si>
    <t>Hour-of-day P&amp;L heatmap over 5 yrs; recheck yearly; DST/holiday calendar correctness tests</t>
  </si>
  <si>
    <t>Probability-Based Level Touch Stats</t>
  </si>
  <si>
    <t>Historical frequencies (e.g., prior-day high touch %, open-gap fill %) create quantified expectations</t>
  </si>
  <si>
    <t>Enter only setups whose historical base rate &gt;= 60% for the day-type context, with defined trigger</t>
  </si>
  <si>
    <t>Statistical target (the level in question); abandon at half-life time if untouched</t>
  </si>
  <si>
    <t>Edge must persist net of costs in rolling 2-yr window or setup auto-disables</t>
  </si>
  <si>
    <t>Kelly-fraction capped at 0.25 Kelly</t>
  </si>
  <si>
    <t>Any instrument with 5+ yrs intraday data</t>
  </si>
  <si>
    <t>Self-monitoring edge decay</t>
  </si>
  <si>
    <t>Base rates are conditional - context errors mislead</t>
  </si>
  <si>
    <t>Rolling out-of-sample re-estimation pipeline; publish confidence intervals, not point estimates</t>
  </si>
  <si>
    <t>ST-18</t>
  </si>
  <si>
    <t>Rule-Based Discretionary</t>
  </si>
  <si>
    <t>Playbook Card System</t>
  </si>
  <si>
    <t>Discretionary trading constrained by pre-written playbook cards: context, trigger, invalidation, max risk per card</t>
  </si>
  <si>
    <t>A trade may only be taken if it matches an active card; card checklist completed in ticket</t>
  </si>
  <si>
    <t>Card-defined; journal captures card ID</t>
  </si>
  <si>
    <t>Daily loss limit; max 3 cards active per day; breach locks entry (kill-switch-lite)</t>
  </si>
  <si>
    <t>Card specifies size class (S/M/L of risk unit)</t>
  </si>
  <si>
    <t>Traders transitioning from discretionary to systematic</t>
  </si>
  <si>
    <t>Preserves judgment while enforcing discipline</t>
  </si>
  <si>
    <t>Not fully backtestable; relies on journaling</t>
  </si>
  <si>
    <t>Validation via journal analytics: per-card expectancy after 50+ samples; cards retired below threshold</t>
  </si>
  <si>
    <t>ST-19</t>
  </si>
  <si>
    <t>Risk-First</t>
  </si>
  <si>
    <t>Fixed-Risk Portfolio Heat Model</t>
  </si>
  <si>
    <t>Total simultaneous open risk (portfolio heat) is capped before any strategy considerations</t>
  </si>
  <si>
    <t>Any strategy signal is admitted only if incremental heat keeps total open risk &lt;= 3R and correlated-cluster heat &lt;= 2R</t>
  </si>
  <si>
    <t>Positions trimmed proportionally if heat cap breached by volatility expansion</t>
  </si>
  <si>
    <t>Heat computed on stop-based risk, marked to market; correlation clusters refreshed weekly</t>
  </si>
  <si>
    <t>Sizing is the output: solve qty from remaining heat budget</t>
  </si>
  <si>
    <t>Always-on meta-layer for the whole book</t>
  </si>
  <si>
    <t>Caps tail risk regardless of strategy quality</t>
  </si>
  <si>
    <t>May refuse good signals in clusters</t>
  </si>
  <si>
    <t>Simulate heat model over combined strategy portfolio; compare drawdown distribution with/without heat cap</t>
  </si>
  <si>
    <t>NOTES: 'Range unit' = median daily high-low range over the stated lookback, computed from raw price data (kept indicator-free by construction). Every strategy must ship with: codified rules (JSON DSL), unit tests on synthetic data, backtest report meeting the requirements column, and a paper-trading sign-off before live promotion.</t>
  </si>
  <si>
    <t>Assistant</t>
  </si>
  <si>
    <t>Capability</t>
  </si>
  <si>
    <t>Data Inputs (verified pipelines only)</t>
  </si>
  <si>
    <t>Output Contract</t>
  </si>
  <si>
    <t>Maps to Module</t>
  </si>
  <si>
    <t>Market summary</t>
  </si>
  <si>
    <t>Pre-open and on-demand narrative of index/sector state</t>
  </si>
  <si>
    <t>OHLC store, structure engine, breadth calc</t>
  </si>
  <si>
    <t>Briefing section w/ evidence links</t>
  </si>
  <si>
    <t>AI-01</t>
  </si>
  <si>
    <t>Trend explanation</t>
  </si>
  <si>
    <t>Why the current swing sequence reads up/down/neutral, in structure terms</t>
  </si>
  <si>
    <t>Structure engine (HH/HL states)</t>
  </si>
  <si>
    <t>Explanation citing exact swing points</t>
  </si>
  <si>
    <t>Volatility analysis</t>
  </si>
  <si>
    <t>Range-unit regime, compression/expansion state vs 20-day</t>
  </si>
  <si>
    <t>Range-unit calculator (ST-12)</t>
  </si>
  <si>
    <t>Regime flag + supporting values</t>
  </si>
  <si>
    <t>Liquidity analysis</t>
  </si>
  <si>
    <t>Spread, depth quality, volume vs average per watchlist symbol</t>
  </si>
  <si>
    <t>Depth cache, volume stats</t>
  </si>
  <si>
    <t>Tradability grade A-D per symbol</t>
  </si>
  <si>
    <t>Option chain interpretation</t>
  </si>
  <si>
    <t>OI concentration, max-pain shift, PCR context (informational)</t>
  </si>
  <si>
    <t>Derivatives feed (OI, chain)</t>
  </si>
  <si>
    <t>Chain summary w/ raw table shown</t>
  </si>
  <si>
    <t>Sector rotation</t>
  </si>
  <si>
    <t>RS rank moves across sector indices (links ST-15)</t>
  </si>
  <si>
    <t>RS ranking job</t>
  </si>
  <si>
    <t>Rotation map + rank deltas</t>
  </si>
  <si>
    <t>AI-02</t>
  </si>
  <si>
    <t>Institutional activity</t>
  </si>
  <si>
    <t>FII/DII flows, bulk/block deals affecting watchlist</t>
  </si>
  <si>
    <t>Flows dataset, deals feed</t>
  </si>
  <si>
    <t>Activity digest w/ source rows</t>
  </si>
  <si>
    <t>AI-06</t>
  </si>
  <si>
    <t>Trade idea generation</t>
  </si>
  <si>
    <t>Rank live strategy signals by context quality</t>
  </si>
  <si>
    <t>Signal engine, regime flags</t>
  </si>
  <si>
    <t>Opportunity cards (never auto-executed)</t>
  </si>
  <si>
    <t>Trade validation</t>
  </si>
  <si>
    <t>Deterministic rule + risk check with narrative rationale</t>
  </si>
  <si>
    <t>Proposed order, risk verdicts, strategy card</t>
  </si>
  <si>
    <t>PASS/WARN/FAIL + violated rules verbatim</t>
  </si>
  <si>
    <t>AI-03</t>
  </si>
  <si>
    <t>Entry suggestions</t>
  </si>
  <si>
    <t>Refine entry zone/trigger from structure around signal</t>
  </si>
  <si>
    <t>Structure engine levels</t>
  </si>
  <si>
    <t>Entry zone + trigger condition + invalidation</t>
  </si>
  <si>
    <t>Exit suggestions</t>
  </si>
  <si>
    <t>Target ladder from opposing structure/measured moves</t>
  </si>
  <si>
    <t>Structure engine, signal payload</t>
  </si>
  <si>
    <t>Target list with logic per level</t>
  </si>
  <si>
    <t>Stop-loss recommendations</t>
  </si>
  <si>
    <t>Stop placement per strategy rules; flags stops beyond RK-02 budget</t>
  </si>
  <si>
    <t>Strategy risk rules, range unit</t>
  </si>
  <si>
    <t>Stop price + rule reference + size impact</t>
  </si>
  <si>
    <t>Position sizing</t>
  </si>
  <si>
    <t>Solve qty from risk budget and heat headroom (RK-02/09)</t>
  </si>
  <si>
    <t>Equity, limits, open heat</t>
  </si>
  <si>
    <t>Qty + full arithmetic shown</t>
  </si>
  <si>
    <t>Confidence &amp; risk scores</t>
  </si>
  <si>
    <t>Calibrated 0-100 score + separate risk score with factor attributions</t>
  </si>
  <si>
    <t>Journal outcomes model (AI-10)</t>
  </si>
  <si>
    <t>Scores + top-3 factors + model version</t>
  </si>
  <si>
    <t>AI-10</t>
  </si>
  <si>
    <t>Portfolio health</t>
  </si>
  <si>
    <t>Composite health grade: drawdown state, heat, concentration, margin</t>
  </si>
  <si>
    <t>Portfolio, risk engine</t>
  </si>
  <si>
    <t>Health card, each sub-grade explained</t>
  </si>
  <si>
    <t>AI-04/05</t>
  </si>
  <si>
    <t>Diversification &amp; exposure</t>
  </si>
  <si>
    <t>Cluster/sector exposure vs caps (RK-07/08)</t>
  </si>
  <si>
    <t>Correlation job, positions</t>
  </si>
  <si>
    <t>Exposure table + breach distance</t>
  </si>
  <si>
    <t>AI-04</t>
  </si>
  <si>
    <t>Sector concentration</t>
  </si>
  <si>
    <t>Concentration index with trend vs last review</t>
  </si>
  <si>
    <t>Holdings, sector map</t>
  </si>
  <si>
    <t>Concentration chart data + flags</t>
  </si>
  <si>
    <t>AI-05</t>
  </si>
  <si>
    <t>Margin utilization</t>
  </si>
  <si>
    <t>Current + stress-projected margin (RK-10/11)</t>
  </si>
  <si>
    <t>Broker margin API, scenarios</t>
  </si>
  <si>
    <t>Utilisation now / at -1 range-unit</t>
  </si>
  <si>
    <t>Capital allocation &amp; rebalancing</t>
  </si>
  <si>
    <t>Drift vs target allocation; suggested trims/adds as drafts only</t>
  </si>
  <si>
    <t>Holdings, targets, heat model</t>
  </si>
  <si>
    <t>Draft basket (never auto-sent)</t>
  </si>
  <si>
    <t>News summary</t>
  </si>
  <si>
    <t>Clustered, materiality-flagged digests per holding/watchlist symbol</t>
  </si>
  <si>
    <t>News API</t>
  </si>
  <si>
    <t>Digest bullets ↔ source URLs</t>
  </si>
  <si>
    <t>Quarterly results</t>
  </si>
  <si>
    <t>Result deltas vs history/estimates, red-flag scan</t>
  </si>
  <si>
    <t>Extracted financials</t>
  </si>
  <si>
    <t>Earnings card citing extracted table</t>
  </si>
  <si>
    <t>AI-07</t>
  </si>
  <si>
    <t>IPO review</t>
  </si>
  <si>
    <t>Structured IPO brief: business, financials, valuation vs peers, lock-ins</t>
  </si>
  <si>
    <t>DRHP extraction, peer data</t>
  </si>
  <si>
    <t>IPO card with data-sourced sections</t>
  </si>
  <si>
    <t>Fundamental research</t>
  </si>
  <si>
    <t>Company one-pager: ratios trend, shareholding, pledges, capex</t>
  </si>
  <si>
    <t>Fundamentals store</t>
  </si>
  <si>
    <t>One-pager with as-of dates</t>
  </si>
  <si>
    <t>Economic events &amp; policy impact</t>
  </si>
  <si>
    <t>RBI/Fed/budget/policy briefs with historical analogs and exposure at risk</t>
  </si>
  <si>
    <t>Eco calendar, analog retrieval, positions</t>
  </si>
  <si>
    <t>Event brief + analog table + exposure</t>
  </si>
  <si>
    <t>AI-08</t>
  </si>
  <si>
    <t>NOTES: Four-assistant architecture (Analyst / Trade / Portfolio / Research) is the product-facing view; AI Assistant Modules sheet (AI-01..14) remains the engineering view - the last column maps between them. Shared guarantees across all four: deterministic pipelines prepare data, LLM narrates only verified facts, explainability schema (AI-13) enforced, feedback loop (AI-14), and no execution authority ever.</t>
  </si>
  <si>
    <t>Inputs</t>
  </si>
  <si>
    <t>Outputs</t>
  </si>
  <si>
    <t>Approach</t>
  </si>
  <si>
    <t>Explainability Contract</t>
  </si>
  <si>
    <t>Feedback Loop</t>
  </si>
  <si>
    <t>Daily Market Briefing</t>
  </si>
  <si>
    <t>Pre-open summary: index structure state, key levels, overnight moves, event risk, watchlist highlights</t>
  </si>
  <si>
    <t>OHLC store, level engine, eco/earnings calendar, news feed, watchlists</t>
  </si>
  <si>
    <t>Structured briefing doc (sections + evidence links)</t>
  </si>
  <si>
    <t>Deterministic data pipeline → LLM narration over verified facts only</t>
  </si>
  <si>
    <t>Every sentence cites the data record it derives from; no uncited claims rendered</t>
  </si>
  <si>
    <t>Section-level 👍/👎; skipped-section telemetry</t>
  </si>
  <si>
    <t>Trade Opportunity Generation</t>
  </si>
  <si>
    <t>Surface strategy signals ranked by context quality (never auto-executes)</t>
  </si>
  <si>
    <t>Signal engine output, regime flags, RS ranks</t>
  </si>
  <si>
    <t>Ranked opportunity cards with strategy ID + context</t>
  </si>
  <si>
    <t>Rule engine ranking; LLM only writes the human summary</t>
  </si>
  <si>
    <t>Card shows exact rules satisfied and rank factors with weights</t>
  </si>
  <si>
    <t>Taken/ignored outcome joined with journal P&amp;L</t>
  </si>
  <si>
    <t>Trade Validation</t>
  </si>
  <si>
    <t>Score a proposed order against strategy rules, risk limits, and current context</t>
  </si>
  <si>
    <t>Proposed order, active strategy card, risk engine verdicts, market state</t>
  </si>
  <si>
    <t>Score 0-100, verdict (PASS/WARN/FAIL), violated-rule list, rationale</t>
  </si>
  <si>
    <t>Hard checks = deterministic; contextual score = weighted model; LLM writes rationale</t>
  </si>
  <si>
    <t>Violated rules listed verbatim with the measured values that failed</t>
  </si>
  <si>
    <t>User rating + realised R-multiple per validated trade</t>
  </si>
  <si>
    <t>Risk Assessment</t>
  </si>
  <si>
    <t>Portfolio heat, correlation clusters, scenario deltas on demand</t>
  </si>
  <si>
    <t>Positions, risk_limits, correlation matrix, stress scenarios</t>
  </si>
  <si>
    <t>Heat report, top risks ranked, suggested trims</t>
  </si>
  <si>
    <t>Quant computation; LLM narration</t>
  </si>
  <si>
    <t>All numbers reproducible from the shown inputs; scenario assumptions listed</t>
  </si>
  <si>
    <t>Accepted/rejected trim suggestions tracked</t>
  </si>
  <si>
    <t>Portfolio Analysis</t>
  </si>
  <si>
    <t>Allocation drift, concentration, XIRR attribution, dividend outlook</t>
  </si>
  <si>
    <t>Holdings, trades, dividends, benchmarks</t>
  </si>
  <si>
    <t>Portfolio review doc + action list</t>
  </si>
  <si>
    <t>Deterministic analytics + narrative layer</t>
  </si>
  <si>
    <t>Each finding links to the underlying computation table</t>
  </si>
  <si>
    <t>Action items marked done/dismissed</t>
  </si>
  <si>
    <t>News Summarisation</t>
  </si>
  <si>
    <t>Cluster and summarise instrument-relevant news; flag price-sensitive items</t>
  </si>
  <si>
    <t>News API feed filtered by watchlist/holdings</t>
  </si>
  <si>
    <t>Per-symbol digest with materiality flag and source links</t>
  </si>
  <si>
    <t>Embedding clustering + LLM abstraction; source URLs mandatory</t>
  </si>
  <si>
    <t>Summary bullet ↔ source article mapping; no synthesis across unnamed sources</t>
  </si>
  <si>
    <t>Materiality flag accuracy reviewed weekly</t>
  </si>
  <si>
    <t>Fundamental &amp; Earnings Analysis</t>
  </si>
  <si>
    <t>Quarterly result deltas vs estimates and history; red-flag scan (margins, receivables, pledges)</t>
  </si>
  <si>
    <t>Financial statements, shareholding, result PDFs</t>
  </si>
  <si>
    <t>Earnings card: beats/misses, trend tables, flags</t>
  </si>
  <si>
    <t>Structured extraction (rules) + LLM commentary on extracted table only</t>
  </si>
  <si>
    <t>Card displays the extracted table; commentary cites its cells</t>
  </si>
  <si>
    <t>Analyst-style correction input refines extraction rules</t>
  </si>
  <si>
    <t>Economic Event Interpretation</t>
  </si>
  <si>
    <t>Pre/post analysis of macro events (RBI, Fed, CPI, budget) relevant to positions</t>
  </si>
  <si>
    <t>Eco calendar, historical event reactions, current exposure</t>
  </si>
  <si>
    <t>Event brief: expected ranges, exposure at risk, playbook suggestions</t>
  </si>
  <si>
    <t>Historical analog retrieval + LLM synthesis with disclaimers</t>
  </si>
  <si>
    <t>Analog events listed with dates and realised moves</t>
  </si>
  <si>
    <t>Post-event accuracy note auto-generated</t>
  </si>
  <si>
    <t>AI-09</t>
  </si>
  <si>
    <t>Watchlist Recommendations</t>
  </si>
  <si>
    <t>Suggest additions/removals from scan universe based on user's strategy mix</t>
  </si>
  <si>
    <t>Scans (RS, compression, volume), user strategy prefs, journal history</t>
  </si>
  <si>
    <t>Suggested symbols with reason codes</t>
  </si>
  <si>
    <t>Rule-based scans; preference model from feedback</t>
  </si>
  <si>
    <t>Reason codes map to concrete scan thresholds</t>
  </si>
  <si>
    <t>Add/ignore decisions train preference weights</t>
  </si>
  <si>
    <t>Trade &amp; Confidence Scoring</t>
  </si>
  <si>
    <t>Unified 0-100 score with calibrated confidence band on any opportunity</t>
  </si>
  <si>
    <t>AI-02/AI-03 factors, historical outcome base rates</t>
  </si>
  <si>
    <t>Score + confidence interval + top 3 driving factors</t>
  </si>
  <si>
    <t>Gradient-boosted model on journaled outcomes; isotonic calibration</t>
  </si>
  <si>
    <t>Factor attributions (SHAP-style) rendered per score</t>
  </si>
  <si>
    <t>Continuous recalibration monthly on journal outcomes</t>
  </si>
  <si>
    <t>AI-11</t>
  </si>
  <si>
    <t>Scenario Analysis</t>
  </si>
  <si>
    <t>What-if on positions: gap-down X%, vol spike, event outcomes</t>
  </si>
  <si>
    <t>Positions, options greeks (if any), scenario library</t>
  </si>
  <si>
    <t>P&amp;L impact table per scenario + hedging notes</t>
  </si>
  <si>
    <t>Deterministic repricing; LLM explains drivers</t>
  </si>
  <si>
    <t>Scenario parameters editable and shown with results</t>
  </si>
  <si>
    <t>Saved scenarios track realised vs projected</t>
  </si>
  <si>
    <t>AI-12</t>
  </si>
  <si>
    <t>Position Review</t>
  </si>
  <si>
    <t>End-of-day critique of open positions vs plans</t>
  </si>
  <si>
    <t>Positions, originating signals/cards, journal notes</t>
  </si>
  <si>
    <t>Review card: plan adherence, drift warnings</t>
  </si>
  <si>
    <t>Rule comparison + LLM narrative</t>
  </si>
  <si>
    <t>Adherence checks itemised against the original plan record</t>
  </si>
  <si>
    <t>User confirms/corrects drift assessments</t>
  </si>
  <si>
    <t>AI-13</t>
  </si>
  <si>
    <t>Explainability Layer (shared)</t>
  </si>
  <si>
    <t>Common schema forcing evidence, inputs, and versioning on every AI output</t>
  </si>
  <si>
    <t>All module outputs</t>
  </si>
  <si>
    <t>ai_outputs rows: kind, input_ref, output, model_version</t>
  </si>
  <si>
    <t>JSON schema validation gate before render</t>
  </si>
  <si>
    <t>Outputs failing evidence schema are rejected, never shown</t>
  </si>
  <si>
    <t>Schema violation rate tracked as quality metric</t>
  </si>
  <si>
    <t>AI-14</t>
  </si>
  <si>
    <t>User Feedback Learning</t>
  </si>
  <si>
    <t>Aggregate ratings + outcomes to improve ranking/scoring; never changes hard risk rules</t>
  </si>
  <si>
    <t>ai_outputs.feedback, journal outcomes</t>
  </si>
  <si>
    <t>Updated model weights (versioned), drift reports</t>
  </si>
  <si>
    <t>Offline retraining pipeline with holdout evaluation</t>
  </si>
  <si>
    <t>Model version + training-window shown on every scored output</t>
  </si>
  <si>
    <t>A/B of model versions on paper signals before promotion</t>
  </si>
  <si>
    <t>NOTES: Design stance: the assistant is decision support - it never places, modifies, or cancels orders, and cannot alter hard risk limits. All outputs carry a standing 'not investment advice' notice. LLM components see only verified, structured data prepared by deterministic pipelines.</t>
  </si>
  <si>
    <t>Control ID</t>
  </si>
  <si>
    <t>Control</t>
  </si>
  <si>
    <t>Rule / Formula</t>
  </si>
  <si>
    <t>Default Threshold</t>
  </si>
  <si>
    <t>Enforcement Point</t>
  </si>
  <si>
    <t>Action on Breach</t>
  </si>
  <si>
    <t>Hard/Soft</t>
  </si>
  <si>
    <t>RK-01</t>
  </si>
  <si>
    <t>Capital Allocation</t>
  </si>
  <si>
    <t>Trading capital segregation</t>
  </si>
  <si>
    <t>Intraday book capital &lt;= allocated % of total equity</t>
  </si>
  <si>
    <t>30% of equity</t>
  </si>
  <si>
    <t>Account config</t>
  </si>
  <si>
    <t>New intraday orders blocked beyond allocation</t>
  </si>
  <si>
    <t>Hard</t>
  </si>
  <si>
    <t>RK-02</t>
  </si>
  <si>
    <t>Fixed-fractional risk per trade</t>
  </si>
  <si>
    <t>qty = (equity x risk%) / stop_distance, rounded to lot</t>
  </si>
  <si>
    <t>0.75% per trade</t>
  </si>
  <si>
    <t>Order ticket / pre-trade</t>
  </si>
  <si>
    <t>Ticket auto-caps qty; oversize send blocked</t>
  </si>
  <si>
    <t>RK-03</t>
  </si>
  <si>
    <t>Max single-position exposure</t>
  </si>
  <si>
    <t>position_value / equity &lt;= cap</t>
  </si>
  <si>
    <t>10% (equity), 1 lot-tier (F&amp;O)</t>
  </si>
  <si>
    <t>Pre-trade</t>
  </si>
  <si>
    <t>Order rejected with sizing suggestion</t>
  </si>
  <si>
    <t>RK-04</t>
  </si>
  <si>
    <t>Drawdown Control</t>
  </si>
  <si>
    <t>Max daily loss limit</t>
  </si>
  <si>
    <t>Realised + unrealised day P&amp;L &gt;= -limit</t>
  </si>
  <si>
    <t>-2.0% of equity</t>
  </si>
  <si>
    <t>Continuous monitor</t>
  </si>
  <si>
    <t>Kill-switch-lite: entries blocked; exits allowed; alert</t>
  </si>
  <si>
    <t>RK-05</t>
  </si>
  <si>
    <t>Weekly loss circuit</t>
  </si>
  <si>
    <t>Rolling 5-session P&amp;L &gt;= -limit</t>
  </si>
  <si>
    <t>-4.0% of equity</t>
  </si>
  <si>
    <t>Session start check</t>
  </si>
  <si>
    <t>Trading locked to paper mode until manual review logged</t>
  </si>
  <si>
    <t>RK-06</t>
  </si>
  <si>
    <t>Max drawdown de-risking ladder</t>
  </si>
  <si>
    <t>At -6%/-8%/-10% from equity peak, risk% steps down 0.75→0.5→0.25</t>
  </si>
  <si>
    <t>Ladder as stated</t>
  </si>
  <si>
    <t>Sizing engine</t>
  </si>
  <si>
    <t>Automatic size reduction; banner shows current tier</t>
  </si>
  <si>
    <t>RK-07</t>
  </si>
  <si>
    <t>Portfolio Exposure</t>
  </si>
  <si>
    <t>Gross exposure cap</t>
  </si>
  <si>
    <t>Sum(|position_value|) / equity &lt;= cap</t>
  </si>
  <si>
    <t>2.0x (with derivatives)</t>
  </si>
  <si>
    <t>Pre-trade + monitor</t>
  </si>
  <si>
    <t>Blocking + trim suggestions via AI-04</t>
  </si>
  <si>
    <t>RK-08</t>
  </si>
  <si>
    <t>Sector/correlation cluster cap</t>
  </si>
  <si>
    <t>Cluster heat &lt;= 2R; cluster exposure &lt;= 40%</t>
  </si>
  <si>
    <t>As stated</t>
  </si>
  <si>
    <t>Order blocked; alternative uncorrelated candidates suggested</t>
  </si>
  <si>
    <t>Soft→Hard at 1.25x</t>
  </si>
  <si>
    <t>RK-09</t>
  </si>
  <si>
    <t>Open Risk</t>
  </si>
  <si>
    <t>Portfolio heat cap (ST-19)</t>
  </si>
  <si>
    <t>Sum of stop-based open risk &lt;= 3R</t>
  </si>
  <si>
    <t>3R</t>
  </si>
  <si>
    <t>Signal admission refused</t>
  </si>
  <si>
    <t>RK-10</t>
  </si>
  <si>
    <t>Margin</t>
  </si>
  <si>
    <t>Margin utilisation ceiling</t>
  </si>
  <si>
    <t>Used margin / available &lt;= cap incl. new order</t>
  </si>
  <si>
    <t>80%</t>
  </si>
  <si>
    <t>Order blocked; margin detail displayed</t>
  </si>
  <si>
    <t>RK-11</t>
  </si>
  <si>
    <t>MTM margin-call early warning</t>
  </si>
  <si>
    <t>Projected margin at -1 range-unit move stays &lt; 95%</t>
  </si>
  <si>
    <t>Warning + suggested trims</t>
  </si>
  <si>
    <t>Soft</t>
  </si>
  <si>
    <t>RK-12</t>
  </si>
  <si>
    <t>Order Controls</t>
  </si>
  <si>
    <t>Fat-finger guards</t>
  </si>
  <si>
    <t>qty &lt;= 5x median trade size AND value &lt;= per-order cap; price within ±5% of LTP for limits</t>
  </si>
  <si>
    <t>Cap configurable</t>
  </si>
  <si>
    <t>Order ticket</t>
  </si>
  <si>
    <t>Ticket blocks with explicit reason</t>
  </si>
  <si>
    <t>RK-13</t>
  </si>
  <si>
    <t>Max open orders / rate limit</t>
  </si>
  <si>
    <t>Open orders &lt;= 25; &lt;= 10 orders/min</t>
  </si>
  <si>
    <t>Excess queued or rejected; anti-runaway for strategy bugs</t>
  </si>
  <si>
    <t>RK-14</t>
  </si>
  <si>
    <t>Session Controls</t>
  </si>
  <si>
    <t>Manual or auto trigger flattens book and blocks entries</t>
  </si>
  <si>
    <t>Manual + RK-04 auto</t>
  </si>
  <si>
    <t>Global</t>
  </si>
  <si>
    <t>Cancel-all → square-off → session BLOCKED; audit entry</t>
  </si>
  <si>
    <t>RK-15</t>
  </si>
  <si>
    <t>EOD auto square-off (intraday book)</t>
  </si>
  <si>
    <t>All MIS/intraday positions closed by T-minus buffer</t>
  </si>
  <si>
    <t>15:12 IST buffer</t>
  </si>
  <si>
    <t>Auto square-off with alert; failure escalates loudly</t>
  </si>
  <si>
    <t>RK-16</t>
  </si>
  <si>
    <t>Stress Testing</t>
  </si>
  <si>
    <t>Scenario battery</t>
  </si>
  <si>
    <t>Gap ±3%/±5%, vol x2, single-name -15%, cluster -8%</t>
  </si>
  <si>
    <t>Run daily post-close</t>
  </si>
  <si>
    <t>Batch job</t>
  </si>
  <si>
    <t>Report to Risk Console; breach of survivability flag emails owner</t>
  </si>
  <si>
    <t>RK-17</t>
  </si>
  <si>
    <t>Correlation analysis refresh</t>
  </si>
  <si>
    <t>60-day return correlation matrix; clusters via threshold 0.7</t>
  </si>
  <si>
    <t>Weekly</t>
  </si>
  <si>
    <t>Cluster definitions updated; RK-08 uses latest</t>
  </si>
  <si>
    <t>RK-18</t>
  </si>
  <si>
    <t>Governance</t>
  </si>
  <si>
    <t>Hard-limit change control</t>
  </si>
  <si>
    <t>Hard limits editable only in Admin with dual confirmation + cool-off</t>
  </si>
  <si>
    <t>24h cool-off for increases</t>
  </si>
  <si>
    <t>Admin panel</t>
  </si>
  <si>
    <t>Change logged, effective next session (increases)</t>
  </si>
  <si>
    <t>RK-19</t>
  </si>
  <si>
    <t>Model Risk</t>
  </si>
  <si>
    <t>Strategy live-drift monitor</t>
  </si>
  <si>
    <t>Live expectancy vs backtest CI over rolling 30 trades</t>
  </si>
  <si>
    <t>Outside 90% CI</t>
  </si>
  <si>
    <t>Analytics job</t>
  </si>
  <si>
    <t>Strategy auto-demoted to paper; review task created</t>
  </si>
  <si>
    <t>NOTES: R = one risk unit = equity x per-trade risk% (RK-02). 'Range unit' as defined on the Strategy Library sheet. Thresholds here are recommended defaults - tune per capital base and instrument mix; hard limits require the RK-18 change-control path.</t>
  </si>
  <si>
    <t>Region</t>
  </si>
  <si>
    <t>API Style</t>
  </si>
  <si>
    <t>Auth Model</t>
  </si>
  <si>
    <t>Order Types Mapped</t>
  </si>
  <si>
    <t>Streaming</t>
  </si>
  <si>
    <t>Portfolio Sync</t>
  </si>
  <si>
    <t>Error Recovery / Failover</t>
  </si>
  <si>
    <t>Paper (internal)</t>
  </si>
  <si>
    <t>In-process adapter</t>
  </si>
  <si>
    <t>All OMS types (simulated fills)</t>
  </si>
  <si>
    <t>Mirrors live feed</t>
  </si>
  <si>
    <t>Native</t>
  </si>
  <si>
    <t>N/A - reference implementation of BrokerPort</t>
  </si>
  <si>
    <t>Zerodha Kite</t>
  </si>
  <si>
    <t>India</t>
  </si>
  <si>
    <t>REST + binary WebSocket</t>
  </si>
  <si>
    <t>API key + daily access token (login flow)</t>
  </si>
  <si>
    <t>MKT/LMT/SL/SLM; CNC/MIS/NRML; AMO</t>
  </si>
  <si>
    <t>Ticks + depth (WS)</t>
  </si>
  <si>
    <t>Orders/positions/holdings pull + reconcile</t>
  </si>
  <si>
    <t>Token expiry pre-emption at 07:30; WS reconnect with resubscribe; order-state resync on reconnect</t>
  </si>
  <si>
    <t>Upstox</t>
  </si>
  <si>
    <t>REST + WebSocket (protobuf)</t>
  </si>
  <si>
    <t>OAuth2 authorization code</t>
  </si>
  <si>
    <t>MKT/LMT/SL/SLM; I/D products</t>
  </si>
  <si>
    <t>Market + order update streams</t>
  </si>
  <si>
    <t>Full pull + webhook order updates</t>
  </si>
  <si>
    <t>Refresh-token rotation; circuit breaker after 5 consecutive 5xx; failover to polling</t>
  </si>
  <si>
    <t>Angel One SmartAPI</t>
  </si>
  <si>
    <t>REST + WebSocket</t>
  </si>
  <si>
    <t>API key + TOTP login</t>
  </si>
  <si>
    <t>MKT/LMT/SL/SLM; delivery/intraday</t>
  </si>
  <si>
    <t>SmartStream quotes + order feed</t>
  </si>
  <si>
    <t>Pull-based sync</t>
  </si>
  <si>
    <t>TOTP automation via stored seed (encrypted); session keep-alive job</t>
  </si>
  <si>
    <t>Fyers</t>
  </si>
  <si>
    <t>OAuth-style app login</t>
  </si>
  <si>
    <t>MKT/LMT/SL/SLM incl. multi-leg</t>
  </si>
  <si>
    <t>Quotes + depth</t>
  </si>
  <si>
    <t>Pull-based</t>
  </si>
  <si>
    <t>Backup data source role even when not primary execution</t>
  </si>
  <si>
    <t>Dhan</t>
  </si>
  <si>
    <t>Access token</t>
  </si>
  <si>
    <t>MKT/LMT/SL/SLM; bracket native</t>
  </si>
  <si>
    <t>Live feed + order updates</t>
  </si>
  <si>
    <t>Native bracket lets OMS delegate OCO when routed here</t>
  </si>
  <si>
    <t>Interactive Brokers</t>
  </si>
  <si>
    <t>TWS API / Client Portal</t>
  </si>
  <si>
    <t>Gateway session</t>
  </si>
  <si>
    <t>Extensive (incl. algos)</t>
  </si>
  <si>
    <t>Ticks, depth, account stream</t>
  </si>
  <si>
    <t>Native account sync</t>
  </si>
  <si>
    <t>Gateway watchdog + auto-restart; enables global expansion (v2)</t>
  </si>
  <si>
    <t>P4</t>
  </si>
  <si>
    <t>Alpaca</t>
  </si>
  <si>
    <t>US</t>
  </si>
  <si>
    <t>API key/secret</t>
  </si>
  <si>
    <t>MKT/LMT/STP/STP-LMT; brackets native</t>
  </si>
  <si>
    <t>Trades/quotes/bars streams</t>
  </si>
  <si>
    <t>Pull + stream</t>
  </si>
  <si>
    <t>Paper environment excellent for testing US flow (v2)</t>
  </si>
  <si>
    <t>NOTES: Abstraction: every adapter implements BrokerPort (auth, place/modify/cancel, positions, holdings, margins, subscribe). Symbol translation via instruments.broker_tokens map. Common error taxonomy: AUTH_EXPIRED, REJECTED_MARGIN, REJECTED_RMS, RATE_LIMITED, NETWORK, UNKNOWN → uniform OMS handling. Failover: execution failover is manual-confirm only (never silent); market-data failover is automatic to the next configured feed. Reconciliation job compares OMS state vs broker every 60 s and on every reconnect; discrepancies raise a blocking banner.</t>
  </si>
  <si>
    <t>Item ID</t>
  </si>
  <si>
    <t>Implementation Detail</t>
  </si>
  <si>
    <t>Standard / Reference</t>
  </si>
  <si>
    <t>SEC-01</t>
  </si>
  <si>
    <t>Authentication</t>
  </si>
  <si>
    <t>Password hashing</t>
  </si>
  <si>
    <t>argon2id with per-user salt; min length 12; breach-list check on set</t>
  </si>
  <si>
    <t>OWASP ASVS 2.4</t>
  </si>
  <si>
    <t>SEC-02</t>
  </si>
  <si>
    <t>Two-factor auth</t>
  </si>
  <si>
    <t>TOTP (RFC 6238) with recovery codes; required for LIVE trading mode</t>
  </si>
  <si>
    <t>RFC 6238</t>
  </si>
  <si>
    <t>SEC-03</t>
  </si>
  <si>
    <t>Session management</t>
  </si>
  <si>
    <t>Short-lived JWT (15 min) + rotating refresh; absolute session cap 12h; idle lock</t>
  </si>
  <si>
    <t>OWASP ASVS 3</t>
  </si>
  <si>
    <t>SEC-04</t>
  </si>
  <si>
    <t>Authorization</t>
  </si>
  <si>
    <t>RBAC</t>
  </si>
  <si>
    <t>Roles owner/admin/trader/viewer; permission checks in application layer (not UI-only)</t>
  </si>
  <si>
    <t>NIST RBAC</t>
  </si>
  <si>
    <t>SEC-05</t>
  </si>
  <si>
    <t>Step-up auth</t>
  </si>
  <si>
    <t>Kill switch, hard-limit change, broker credential ops require re-auth</t>
  </si>
  <si>
    <t>SEC-06</t>
  </si>
  <si>
    <t>Secrets</t>
  </si>
  <si>
    <t>Credential storage</t>
  </si>
  <si>
    <t>AES-256-GCM blobs; master key in OS keyring (Windows DPAPI / libsecret); never in env/files</t>
  </si>
  <si>
    <t>SEC-07</t>
  </si>
  <si>
    <t>Secret hygiene</t>
  </si>
  <si>
    <t>Secret-scanning pre-commit + CI (gitleaks); redaction filter on all log handlers</t>
  </si>
  <si>
    <t>SEC-08</t>
  </si>
  <si>
    <t>Encryption</t>
  </si>
  <si>
    <t>Data at rest</t>
  </si>
  <si>
    <t>Full DB encryption optional (SQLCipher for SQLite mode); backups encrypted (age/GPG)</t>
  </si>
  <si>
    <t>SEC-09</t>
  </si>
  <si>
    <t>Data in transit</t>
  </si>
  <si>
    <t>TLS 1.2+ enforced to all broker/data APIs; cert verification never disabled</t>
  </si>
  <si>
    <t>SEC-10</t>
  </si>
  <si>
    <t>API Security</t>
  </si>
  <si>
    <t>Input validation</t>
  </si>
  <si>
    <t>Pydantic schemas on every endpoint; strict types; reject unknown fields</t>
  </si>
  <si>
    <t>OWASP API Top 10</t>
  </si>
  <si>
    <t>SEC-11</t>
  </si>
  <si>
    <t>Rate limiting &amp; lockout</t>
  </si>
  <si>
    <t>Per-endpoint limits (API Registry); login lockout 5 fails/15 min</t>
  </si>
  <si>
    <t>OWASP API4</t>
  </si>
  <si>
    <t>SEC-12</t>
  </si>
  <si>
    <t>Idempotency</t>
  </si>
  <si>
    <t>Idempotency-Key on mutating endpoints prevents duplicate orders on retry</t>
  </si>
  <si>
    <t>SEC-13</t>
  </si>
  <si>
    <t>Audit</t>
  </si>
  <si>
    <t>Append-only audit log</t>
  </si>
  <si>
    <t>Hash-chained rows (SHA-256 of prev row); daily anchor hash exported off-box</t>
  </si>
  <si>
    <t>SEC-14</t>
  </si>
  <si>
    <t>Security event coverage</t>
  </si>
  <si>
    <t>Login, failed login, role change, limit change, credential change, kill switch - all logged</t>
  </si>
  <si>
    <t>SEC-15</t>
  </si>
  <si>
    <t>Supply Chain</t>
  </si>
  <si>
    <t>Dependency security</t>
  </si>
  <si>
    <t>pip-audit + Dependabot; lockfile (uv/pip-tools); pinned hashes in production builds</t>
  </si>
  <si>
    <t>SLSA-inspired</t>
  </si>
  <si>
    <t>SEC-16</t>
  </si>
  <si>
    <t>Error handling</t>
  </si>
  <si>
    <t>No stack traces or internal paths in user-facing errors; crash dumps scrubbed</t>
  </si>
  <si>
    <t>SEC-17</t>
  </si>
  <si>
    <t>Compliance</t>
  </si>
  <si>
    <t>Data privacy &amp; retention</t>
  </si>
  <si>
    <t>Personal data catalogued; export + delete functions; retention: audit 7y, ticks 2y, logs 90d</t>
  </si>
  <si>
    <t>DPDP Act awareness</t>
  </si>
  <si>
    <t>SEC-18</t>
  </si>
  <si>
    <t>Broker ToS conformance</t>
  </si>
  <si>
    <t>Adapter behaviours reviewed against each broker's API terms (rate, automation rules)</t>
  </si>
  <si>
    <t>Broker ToS</t>
  </si>
  <si>
    <t>SEC-19</t>
  </si>
  <si>
    <t>Ops</t>
  </si>
  <si>
    <t>Backup security</t>
  </si>
  <si>
    <t>Backups encrypted + tested restore; keys stored separately from backups</t>
  </si>
  <si>
    <t>3-2-1 rule</t>
  </si>
  <si>
    <t>SEC-20</t>
  </si>
  <si>
    <t>Update integrity</t>
  </si>
  <si>
    <t>Signed releases; app verifies signature before self-update</t>
  </si>
  <si>
    <t>SEC-21</t>
  </si>
  <si>
    <t>SQL injection prevention</t>
  </si>
  <si>
    <t>SQLAlchemy parameterised queries ONLY; raw SQL banned by lint rule; sqlmap scan in security test pass</t>
  </si>
  <si>
    <t>OWASP A03</t>
  </si>
  <si>
    <t>SEC-22</t>
  </si>
  <si>
    <t>Token refresh hygiene</t>
  </si>
  <si>
    <t>Refresh tokens rotate on every use; reuse detection revokes the whole session family</t>
  </si>
  <si>
    <t>OAuth2 BCP</t>
  </si>
  <si>
    <t>SEC-23</t>
  </si>
  <si>
    <t>Idle timeout &amp; auto-lock</t>
  </si>
  <si>
    <t>Workspace auto-locks after 15 min idle (configurable 5-30); unlock = password or TOTP; live session absolute cap 12h</t>
  </si>
  <si>
    <t>SEC-24</t>
  </si>
  <si>
    <t>Device Trust</t>
  </si>
  <si>
    <t>Device registration &amp; fingerprint</t>
  </si>
  <si>
    <t>Machine fingerprint bound to license activation (2 devices); new device requires email/TOTP approval; device list manageable in settings</t>
  </si>
  <si>
    <t>SEC-25</t>
  </si>
  <si>
    <t>Adaptive throttling</t>
  </si>
  <si>
    <t>Per-user + per-IP sliding-window limits beyond static caps; cost-weighted (order endpoints weigh more); 429 with Retry-After</t>
  </si>
  <si>
    <t>SEC-26</t>
  </si>
  <si>
    <t>Key rotation procedure</t>
  </si>
  <si>
    <t>Master key + broker credential rotation runbook; rotation drill semi-annual; old-key grace decrypt-only 24h</t>
  </si>
  <si>
    <t>Permission / Action</t>
  </si>
  <si>
    <t>Read-Only</t>
  </si>
  <si>
    <t>User (Investor)</t>
  </si>
  <si>
    <t>Trader</t>
  </si>
  <si>
    <t>Super Admin (Owner)</t>
  </si>
  <si>
    <t>View watchlists, charts, research</t>
  </si>
  <si>
    <t>✓</t>
  </si>
  <si>
    <t>View positions/portfolio/journal</t>
  </si>
  <si>
    <t>✓ (scoped)</t>
  </si>
  <si>
    <t>✓ (own)</t>
  </si>
  <si>
    <t>✓ (all)</t>
  </si>
  <si>
    <t>Read-Only role scoped per grant (e.g., desk viewer)</t>
  </si>
  <si>
    <t>Create/edit watchlists &amp; alerts</t>
  </si>
  <si>
    <t>Place/modify/cancel orders (paper)</t>
  </si>
  <si>
    <t>Place/modify/cancel orders (LIVE)</t>
  </si>
  <si>
    <t>Investor role deliberately cannot trade live intraday products</t>
  </si>
  <si>
    <t>Kill switch (own book)</t>
  </si>
  <si>
    <t>Everyone who can hold positions can flatten them - safety</t>
  </si>
  <si>
    <t>Kill switch (any desk book)</t>
  </si>
  <si>
    <t>Desk-level emergency control</t>
  </si>
  <si>
    <t>Edit soft risk limits (own)</t>
  </si>
  <si>
    <t>Within admin-set bounds</t>
  </si>
  <si>
    <t>Edit hard risk limits</t>
  </si>
  <si>
    <t>✓ (dual-confirm)</t>
  </si>
  <si>
    <t>RK-18: cool-off applies to increases</t>
  </si>
  <si>
    <t>Manage own broker credentials</t>
  </si>
  <si>
    <t>Step-up auth required (SEC-05)</t>
  </si>
  <si>
    <t>Manage strategies (create/backtest)</t>
  </si>
  <si>
    <t>Promote strategy to LIVE</t>
  </si>
  <si>
    <t>Requires attached passing backtest (Domain Model invariant)</t>
  </si>
  <si>
    <t>Use AI assistants</t>
  </si>
  <si>
    <t>✓ (read outputs)</t>
  </si>
  <si>
    <t>Token budgets per edition</t>
  </si>
  <si>
    <t>Export data (journal/portfolio/reports)</t>
  </si>
  <si>
    <t>Exports logged to activity log</t>
  </si>
  <si>
    <t>View audit log</t>
  </si>
  <si>
    <t>Read-only always; no role can edit audit</t>
  </si>
  <si>
    <t>Manage users &amp; roles</t>
  </si>
  <si>
    <t>✓ (below admin)</t>
  </si>
  <si>
    <t>Admin cannot create/modify other admins</t>
  </si>
  <si>
    <t>Manage licenses/edition settings</t>
  </si>
  <si>
    <t>Manage plugins (install/permissions)</t>
  </si>
  <si>
    <t>Plugin permission grants audit-logged</t>
  </si>
  <si>
    <t>System settings (feeds, backups, DR)</t>
  </si>
  <si>
    <t>Delete/purge data (retention overrides)</t>
  </si>
  <si>
    <t>Audit log NEVER purgeable inside retention window by anyone</t>
  </si>
  <si>
    <t>NOTES: Model: role-based with per-grant scoping for Read-Only; enforcement lives in the application layer (SEC-04) - UI hiding is convenience, never the control. Single-user installs collapse to Super Admin automatically. Every permission denial returns error code AUTHZ-403 and is audit-logged.</t>
  </si>
  <si>
    <t>Enforcement</t>
  </si>
  <si>
    <t>Naming</t>
  </si>
  <si>
    <t>Packages / modules</t>
  </si>
  <si>
    <t>snake_case, singular for modules (order_router.py), domain language only (no mgr/util/helper grab-bags)</t>
  </si>
  <si>
    <t>Code review + ruff N</t>
  </si>
  <si>
    <t>Classes / functions / constants</t>
  </si>
  <si>
    <t>PascalCase classes; snake_case functions; UPPER_SNAKE constants; private _prefix; no abbreviations except approved list (OMS, MTM, P&amp;L→pnl)</t>
  </si>
  <si>
    <t>ruff N + review</t>
  </si>
  <si>
    <t>Domain vocabulary</t>
  </si>
  <si>
    <t>Ubiquitous language locked to Domain Model sheet: an Order is never called Trade; a Signal is never called Alert</t>
  </si>
  <si>
    <t>Glossary in docs; review checklist</t>
  </si>
  <si>
    <t>File / Folder</t>
  </si>
  <si>
    <t>Structure</t>
  </si>
  <si>
    <t>src-layout (src/tradepilot/...); tests mirror source tree 1:1 (tests/unit/domain/test_order.py); one public class per file for entities</t>
  </si>
  <si>
    <t>import-linter + CI tree check</t>
  </si>
  <si>
    <t>Module size</t>
  </si>
  <si>
    <t>Soft cap 400 lines/module, 50 lines/function; exceeding requires a refactor ticket or justification comment</t>
  </si>
  <si>
    <t>ruff C901 complexity + review</t>
  </si>
  <si>
    <t>Class Design</t>
  </si>
  <si>
    <t>Standards</t>
  </si>
  <si>
    <t>Entities: no framework imports, invariants enforced in __init__/methods; services stateless; dataclasses frozen for value objects</t>
  </si>
  <si>
    <t>Architecture tests (pytest-archon style)</t>
  </si>
  <si>
    <t>Dependency Rules</t>
  </si>
  <si>
    <t>presentation → application → domain; infrastructure implements application ports; domain imports nothing external (not even pydantic)</t>
  </si>
  <si>
    <t>import-linter contracts in CI (build fails)</t>
  </si>
  <si>
    <t>Third-party policy</t>
  </si>
  <si>
    <t>New runtime dependency requires ADR note: license check, maintenance health, alternative considered</t>
  </si>
  <si>
    <t>PR template checkbox + review</t>
  </si>
  <si>
    <t>Logging</t>
  </si>
  <si>
    <t>structlog only; never print(); event-style messages ('order.rejected', reason=...) not prose; NO secrets/PII (redaction filter tested); levels: DEBUG dev-only, INFO state changes, WARNING recoverable, ERROR failed operation, CRITICAL trading halted</t>
  </si>
  <si>
    <t>Lint ban on print; log-redaction unit tests</t>
  </si>
  <si>
    <t>Exception Handling</t>
  </si>
  <si>
    <t>Custom hierarchy: TradePilotError → DomainError / InfraError / BrokerError(code); never bare except; catch narrow, re-raise with context (raise ... from e); user-facing messages come from Error Code Catalog, never str(e)</t>
  </si>
  <si>
    <t>ruff BLE + review</t>
  </si>
  <si>
    <t>Comments</t>
  </si>
  <si>
    <t>Comments explain WHY, not what; TODO must carry ticket id (TODO[TP-123]); commented-out code is deleted, not kept</t>
  </si>
  <si>
    <t>ruff TD rules</t>
  </si>
  <si>
    <t>Type Hints</t>
  </si>
  <si>
    <t>Full annotations on all public functions; mypy --strict on domain+application; no untyped defs; Protocol for ports; NewType for ids (OrderId, InstrumentId)</t>
  </si>
  <si>
    <t>mypy strict in CI (gate)</t>
  </si>
  <si>
    <t>Docstrings</t>
  </si>
  <si>
    <t>Google style; required on every public module/class/function in domain, application, ports; include Raises: section; examples for DSL/public SDK</t>
  </si>
  <si>
    <t>ruff D rules + interrogate ≥ 90% on those layers</t>
  </si>
  <si>
    <t>Testing Style</t>
  </si>
  <si>
    <t>AAA pattern; test names test_&lt;unit&gt;__&lt;scenario&gt;__&lt;expectation&gt;; no sleeps (use fakes/clocks); fixtures over setup inheritance</t>
  </si>
  <si>
    <t>Review + flaky-test quarantine job</t>
  </si>
  <si>
    <t>Git &amp; Reviews</t>
  </si>
  <si>
    <t>Conventional commits; PRs ≤ 400 lines diff preferred; every PR: tests + docs touched or 'n/a' justified; no direct pushes to main</t>
  </si>
  <si>
    <t>Branch protection + PR template</t>
  </si>
  <si>
    <t>Test ID</t>
  </si>
  <si>
    <t>Test Type</t>
  </si>
  <si>
    <t>Scope / Target</t>
  </si>
  <si>
    <t>Tooling</t>
  </si>
  <si>
    <t>Coverage / Pass Criteria</t>
  </si>
  <si>
    <t>Environment</t>
  </si>
  <si>
    <t>Frequency</t>
  </si>
  <si>
    <t>TS-01</t>
  </si>
  <si>
    <t>Unit</t>
  </si>
  <si>
    <t>Domain layer (entities, state machines, sizing math)</t>
  </si>
  <si>
    <t>pytest + hypothesis (property-based)</t>
  </si>
  <si>
    <t>&gt;= 95% branch on domain; state machine exhaustively property-tested</t>
  </si>
  <si>
    <t>Local + CI</t>
  </si>
  <si>
    <t>Every commit</t>
  </si>
  <si>
    <t>TS-02</t>
  </si>
  <si>
    <t>pytest, parametrised threshold tables</t>
  </si>
  <si>
    <t>Every rule: pass/warn/block boundary cases</t>
  </si>
  <si>
    <t>TS-03</t>
  </si>
  <si>
    <t>Strategy rule evaluation</t>
  </si>
  <si>
    <t>pytest on synthetic price series</t>
  </si>
  <si>
    <t>Each strategy: known-signal fixtures produce exact expected signals</t>
  </si>
  <si>
    <t>TS-04</t>
  </si>
  <si>
    <t>Integration</t>
  </si>
  <si>
    <t>OMS ↔ broker adapters</t>
  </si>
  <si>
    <t>pytest + respx/vcr recorded APIs</t>
  </si>
  <si>
    <t>Full order lifecycle incl. rejects, partial fills, disconnects</t>
  </si>
  <si>
    <t>CI (mocked), sandbox (nightly)</t>
  </si>
  <si>
    <t>Nightly</t>
  </si>
  <si>
    <t>TS-05</t>
  </si>
  <si>
    <t>Market data pipeline</t>
  </si>
  <si>
    <t>Recorded tick replays</t>
  </si>
  <si>
    <t>No tick loss under 5k ticks/s replay; reconnect resubscribes correctly</t>
  </si>
  <si>
    <t>CI</t>
  </si>
  <si>
    <t>TS-06</t>
  </si>
  <si>
    <t>Persistence &amp; migrations</t>
  </si>
  <si>
    <t>pytest + testcontainers (Postgres)</t>
  </si>
  <si>
    <t>Every Alembic revision upgrades AND downgrades cleanly</t>
  </si>
  <si>
    <t>Every merge</t>
  </si>
  <si>
    <t>TS-07</t>
  </si>
  <si>
    <t>API</t>
  </si>
  <si>
    <t>REST/WS contract tests</t>
  </si>
  <si>
    <t>schemathesis from OpenAPI spec</t>
  </si>
  <si>
    <t>Zero 5xx on fuzzed valid inputs; auth matrix enforced</t>
  </si>
  <si>
    <t>TS-08</t>
  </si>
  <si>
    <t>UI</t>
  </si>
  <si>
    <t>Panel behaviour &amp; view models</t>
  </si>
  <si>
    <t>pytest-qt</t>
  </si>
  <si>
    <t>Critical flows: ticket validate/send, watchlist ops, kill switch dialog</t>
  </si>
  <si>
    <t>CI (headless)</t>
  </si>
  <si>
    <t>TS-09</t>
  </si>
  <si>
    <t>Visual regression</t>
  </si>
  <si>
    <t>Screenshot diff on themed panels</t>
  </si>
  <si>
    <t>No unapproved pixel drift on core screens (both themes)</t>
  </si>
  <si>
    <t>TS-10</t>
  </si>
  <si>
    <t>Order-path latency</t>
  </si>
  <si>
    <t>Custom tracing harness</t>
  </si>
  <si>
    <t>p95 internal overhead &lt; 150 ms over 1,000 simulated orders</t>
  </si>
  <si>
    <t>Perf rig</t>
  </si>
  <si>
    <t>Weekly + pre-release</t>
  </si>
  <si>
    <t>TS-11</t>
  </si>
  <si>
    <t>Load</t>
  </si>
  <si>
    <t>Tick-storm resilience</t>
  </si>
  <si>
    <t>Synthetic feed generator</t>
  </si>
  <si>
    <t>300 symbols x 10 ticks/s: no frame &gt; 100 ms, no queue overflow</t>
  </si>
  <si>
    <t>Pre-release</t>
  </si>
  <si>
    <t>TS-12</t>
  </si>
  <si>
    <t>Regression</t>
  </si>
  <si>
    <t>Full suite + golden backtests</t>
  </si>
  <si>
    <t>pytest + stored golden reports</t>
  </si>
  <si>
    <t>Golden backtest results byte-identical (deterministic engine)</t>
  </si>
  <si>
    <t>TS-13</t>
  </si>
  <si>
    <t>Backtest Validation</t>
  </si>
  <si>
    <t>Engine correctness</t>
  </si>
  <si>
    <t>Hand-computed reference trades</t>
  </si>
  <si>
    <t>Engine P&amp;L matches manual calculation on reference set to the paisa</t>
  </si>
  <si>
    <t>Local</t>
  </si>
  <si>
    <t>On engine change</t>
  </si>
  <si>
    <t>TS-14</t>
  </si>
  <si>
    <t>Live-fire rehearsal</t>
  </si>
  <si>
    <t>Paper adapter vs live feed</t>
  </si>
  <si>
    <t>2 weeks paper with zero critical defects gates any live release</t>
  </si>
  <si>
    <t>Staging</t>
  </si>
  <si>
    <t>Pre-live gate</t>
  </si>
  <si>
    <t>TS-15</t>
  </si>
  <si>
    <t>Dependency + static + secrets</t>
  </si>
  <si>
    <t>pip-audit, bandit, gitleaks</t>
  </si>
  <si>
    <t>Zero high/critical findings</t>
  </si>
  <si>
    <t>TS-16</t>
  </si>
  <si>
    <t>UAT</t>
  </si>
  <si>
    <t>Scenario scripts per epic</t>
  </si>
  <si>
    <t>Manual checklist from User Journey sheet</t>
  </si>
  <si>
    <t>All journey steps executed and signed off</t>
  </si>
  <si>
    <t>Per release</t>
  </si>
  <si>
    <t>TS-17</t>
  </si>
  <si>
    <t>Chaos / Recovery</t>
  </si>
  <si>
    <t>Kill network, kill broker session mid-trade</t>
  </si>
  <si>
    <t>Scripted fault injection</t>
  </si>
  <si>
    <t>State reconciles within 10 s; no orphan orders</t>
  </si>
  <si>
    <t>Monthly</t>
  </si>
  <si>
    <t>Dataset ID</t>
  </si>
  <si>
    <t>Contents</t>
  </si>
  <si>
    <t>Source / Generation</t>
  </si>
  <si>
    <t>Used By (tests)</t>
  </si>
  <si>
    <t>Location</t>
  </si>
  <si>
    <t>TD-01</t>
  </si>
  <si>
    <t>Instrument fixtures</t>
  </si>
  <si>
    <t>50 handcrafted instruments covering EQ/FUT/CE/PE/commodity, odd lots, tick sizes, expiry edge cases</t>
  </si>
  <si>
    <t>Curated YAML</t>
  </si>
  <si>
    <t>TS-01/02/03 unit tests</t>
  </si>
  <si>
    <t>tests/fixtures/instruments.yaml</t>
  </si>
  <si>
    <t>On schema change</t>
  </si>
  <si>
    <t>TD-02</t>
  </si>
  <si>
    <t>Synthetic price series</t>
  </si>
  <si>
    <t>Deterministic generators: trend, range, gap, volatility-cluster, limit-locked; seeded</t>
  </si>
  <si>
    <t>tools/testdata/pricegen.py (seed in filename)</t>
  </si>
  <si>
    <t>Strategy unit tests, backtester TS-13</t>
  </si>
  <si>
    <t>tests/fixtures/series/</t>
  </si>
  <si>
    <t>Regenerate on demand</t>
  </si>
  <si>
    <t>TD-03</t>
  </si>
  <si>
    <t>Known-signal fixtures</t>
  </si>
  <si>
    <t>Series where each strategy MUST fire at exact bars (golden signals)</t>
  </si>
  <si>
    <t>Handcrafted + generator compositions</t>
  </si>
  <si>
    <t>TS-03 exact-signal assertions</t>
  </si>
  <si>
    <t>tests/fixtures/golden_signals/</t>
  </si>
  <si>
    <t>With strategy changes (reviewed)</t>
  </si>
  <si>
    <t>TD-04</t>
  </si>
  <si>
    <t>Market replay days</t>
  </si>
  <si>
    <t>10 recorded real session tick files: trend day, range day, expiry, gap open, panic drop, circuit halt, dull day, news spike, opening drive, failed breakout</t>
  </si>
  <si>
    <t>Recorder captures (anonymised account data stripped)</t>
  </si>
  <si>
    <t>TS-05 pipeline, TS-11 load, replay UAT</t>
  </si>
  <si>
    <t>lake/replay/curated/</t>
  </si>
  <si>
    <t>Add notable days quarterly</t>
  </si>
  <si>
    <t>TD-05</t>
  </si>
  <si>
    <t>Mock broker responses</t>
  </si>
  <si>
    <t>Recorded API cassettes per broker: auth, place/modify/cancel, rejects (every BRK-* code), partial fills, malformed payloads</t>
  </si>
  <si>
    <t>respx/vcr recordings from sandbox + handcrafted edge cases</t>
  </si>
  <si>
    <t>TS-04 adapter tests</t>
  </si>
  <si>
    <t>tests/cassettes/&lt;broker&gt;/</t>
  </si>
  <si>
    <t>On broker API version change</t>
  </si>
  <si>
    <t>TD-06</t>
  </si>
  <si>
    <t>Fault scenarios</t>
  </si>
  <si>
    <t>Scripted fault injections: WS drop mid-fill, token expiry mid-session, DB lock timeout, clock skew, duplicate broker order id</t>
  </si>
  <si>
    <t>Fault-injection harness configs</t>
  </si>
  <si>
    <t>TS-17 chaos suite</t>
  </si>
  <si>
    <t>tests/chaos/scenarios/</t>
  </si>
  <si>
    <t>Grow with incidents (every prod incident becomes a scenario)</t>
  </si>
  <si>
    <t>TD-07</t>
  </si>
  <si>
    <t>Reference P&amp;L workbook</t>
  </si>
  <si>
    <t>Hand-computed fills → expected P&amp;L, fees (Indian cost model), XIRR for 25 trade sequences</t>
  </si>
  <si>
    <t>Manually verified spreadsheet (source of truth)</t>
  </si>
  <si>
    <t>TS-13 backtester correctness, portfolio tests</t>
  </si>
  <si>
    <t>tests/fixtures/reference_pnl.xlsx</t>
  </si>
  <si>
    <t>On cost-model change (dual-review)</t>
  </si>
  <si>
    <t>TD-08</t>
  </si>
  <si>
    <t>Golden backtest reports</t>
  </si>
  <si>
    <t>Frozen full reports for 4 strategies on TD-04 data with fixed seeds</t>
  </si>
  <si>
    <t>Backtester output, committed after review</t>
  </si>
  <si>
    <t>TS-12 regression (byte-identical)</t>
  </si>
  <si>
    <t>tests/golden/backtests/</t>
  </si>
  <si>
    <t>Only via reviewed re-baselining PR</t>
  </si>
  <si>
    <t>TD-09</t>
  </si>
  <si>
    <t>Load profiles</t>
  </si>
  <si>
    <t>Synthetic tick storms: 300 symbols x 10 ticks/s x 60 min; burst pattern 50k ticks/10 s</t>
  </si>
  <si>
    <t>Load generator config</t>
  </si>
  <si>
    <t>TS-11, PB-04/05 perf runs</t>
  </si>
  <si>
    <t>tools/loadgen/profiles/</t>
  </si>
  <si>
    <t>Stable</t>
  </si>
  <si>
    <t>TD-10</t>
  </si>
  <si>
    <t>AI evaluation set</t>
  </si>
  <si>
    <t>100 briefing/validation prompts with expected-evidence checklists and forbidden-claim lists</t>
  </si>
  <si>
    <t>Curated from real sessions (redacted)</t>
  </si>
  <si>
    <t>AI schema tests, model-version A/B (AI-14)</t>
  </si>
  <si>
    <t>tests/ai_eval/</t>
  </si>
  <si>
    <t>Monthly additions</t>
  </si>
  <si>
    <t>TD-11</t>
  </si>
  <si>
    <t>Migration test DBs</t>
  </si>
  <si>
    <t>Dumps at every released schema version</t>
  </si>
  <si>
    <t>Snapshot at each release</t>
  </si>
  <si>
    <t>TS-06 upgrade/downgrade matrix</t>
  </si>
  <si>
    <t>tests/migrations/dumps/</t>
  </si>
  <si>
    <t>NOTES: Rules: no real credentials or personal data in any fixture (scrubber verified in CI); every fixture change that alters golden outputs requires dual review; generated data always embeds its seed so failures reproduce exactly.</t>
  </si>
  <si>
    <t>Metric ID</t>
  </si>
  <si>
    <t>Metric</t>
  </si>
  <si>
    <t>Target</t>
  </si>
  <si>
    <t>Measurement Method</t>
  </si>
  <si>
    <t>Baseline</t>
  </si>
  <si>
    <t>Current</t>
  </si>
  <si>
    <t>PB-01</t>
  </si>
  <si>
    <t>UI action → broker API call (internal overhead), p95</t>
  </si>
  <si>
    <t>&lt; 150 ms</t>
  </si>
  <si>
    <t>Tracing harness over 1,000 simulated orders</t>
  </si>
  <si>
    <t>Not measured</t>
  </si>
  <si>
    <t>PB-02</t>
  </si>
  <si>
    <t>Fill event → positions/journal updated, p95</t>
  </si>
  <si>
    <t>&lt; 200 ms</t>
  </si>
  <si>
    <t>Event-bus timestamps</t>
  </si>
  <si>
    <t>PB-03</t>
  </si>
  <si>
    <t>Tick receipt → UI cell paint, p95</t>
  </si>
  <si>
    <t>&lt; 250 ms</t>
  </si>
  <si>
    <t>Synthetic feed with embedded send-time</t>
  </si>
  <si>
    <t>PB-04</t>
  </si>
  <si>
    <t>Sustained throughput without loss</t>
  </si>
  <si>
    <t>&gt;= 5,000 ticks/s</t>
  </si>
  <si>
    <t>Replay harness with sequence check</t>
  </si>
  <si>
    <t>PB-05</t>
  </si>
  <si>
    <t>Frame time under 300-symbol storm, worst</t>
  </si>
  <si>
    <t>&lt; 100 ms</t>
  </si>
  <si>
    <t>Qt frame telemetry</t>
  </si>
  <si>
    <t>PB-06</t>
  </si>
  <si>
    <t>Cold start to usable workspace</t>
  </si>
  <si>
    <t>&lt; 6 s</t>
  </si>
  <si>
    <t>Stopwatch script, warm cache excluded</t>
  </si>
  <si>
    <t>PB-07</t>
  </si>
  <si>
    <t>1 year 1-min data, single instrument</t>
  </si>
  <si>
    <t>&lt; 30 s</t>
  </si>
  <si>
    <t>Standard benchmark config (seed 42)</t>
  </si>
  <si>
    <t>PB-08</t>
  </si>
  <si>
    <t>Determinism</t>
  </si>
  <si>
    <t>Bit-identical reports</t>
  </si>
  <si>
    <t>Two consecutive runs diffed</t>
  </si>
  <si>
    <t>PB-09</t>
  </si>
  <si>
    <t>Order write + audit append, p95</t>
  </si>
  <si>
    <t>&lt; 20 ms</t>
  </si>
  <si>
    <t>DB micro-benchmark</t>
  </si>
  <si>
    <t>PB-10</t>
  </si>
  <si>
    <t>Reconnect</t>
  </si>
  <si>
    <t>WS drop → resubscribed &amp; gap-filled</t>
  </si>
  <si>
    <t>&lt; 10 s</t>
  </si>
  <si>
    <t>Fault-injection test TS-17</t>
  </si>
  <si>
    <t>PB-11</t>
  </si>
  <si>
    <t>Memory</t>
  </si>
  <si>
    <t>8-hour session RSS growth</t>
  </si>
  <si>
    <t>&lt; 150 MB</t>
  </si>
  <si>
    <t>Soak test with heap snapshots</t>
  </si>
  <si>
    <t>PB-12</t>
  </si>
  <si>
    <t>Trade validation round trip, p95</t>
  </si>
  <si>
    <t>&lt; 5 s</t>
  </si>
  <si>
    <t>Instrumented AI service calls</t>
  </si>
  <si>
    <t>PB-13</t>
  </si>
  <si>
    <t>Startup</t>
  </si>
  <si>
    <t>Cold start to interactive login</t>
  </si>
  <si>
    <t>&lt; 2 s</t>
  </si>
  <si>
    <t>Launcher instrumentation (stretch target; PB-06 covers full workspace)</t>
  </si>
  <si>
    <t>PB-14</t>
  </si>
  <si>
    <t>Login submit → workspace begins restore</t>
  </si>
  <si>
    <t>&lt; 1 s</t>
  </si>
  <si>
    <t>Auth flow timer (local auth path)</t>
  </si>
  <si>
    <t>PB-15</t>
  </si>
  <si>
    <t>Tick receipt → cache + strategy delivery (pre-UI)</t>
  </si>
  <si>
    <t>Pipeline stage timestamps (stages 3-7)</t>
  </si>
  <si>
    <t>PB-16</t>
  </si>
  <si>
    <t>Ticket send → broker API call issued</t>
  </si>
  <si>
    <t>Order-path tracing (subset of PB-01)</t>
  </si>
  <si>
    <t>PB-17</t>
  </si>
  <si>
    <t>Search</t>
  </si>
  <si>
    <t>Symbol search keystroke → results rendered</t>
  </si>
  <si>
    <t>Search instrumentation over 120k instruments</t>
  </si>
  <si>
    <t>PB-18</t>
  </si>
  <si>
    <t>Max symbols across all lists without degradation</t>
  </si>
  <si>
    <t>&gt;= 5,000 symbols</t>
  </si>
  <si>
    <t>Load profile TD-09 extended; PB-05 frame budget must hold</t>
  </si>
  <si>
    <t>PB-19</t>
  </si>
  <si>
    <t>Steady-state RSS full workspace, 300 live symbols</t>
  </si>
  <si>
    <t>&lt; 600 MB</t>
  </si>
  <si>
    <t>Soak test heap snapshots (supersedes growth-only PB-11)</t>
  </si>
  <si>
    <t>NOTES: Baseline = first measured value after implementation (blue input); Current updated per perf run. Status values: Not measured / Meets / At risk / Fails. Perf runs execute on the reference rig defined in docs/perf/rig.md so numbers stay comparable.</t>
  </si>
  <si>
    <t>Code</t>
  </si>
  <si>
    <t>Meaning</t>
  </si>
  <si>
    <t>User-Facing Message (template)</t>
  </si>
  <si>
    <t>Recovery Guidance</t>
  </si>
  <si>
    <t>Retryable</t>
  </si>
  <si>
    <t>Invalid credentials or expired session</t>
  </si>
  <si>
    <t>Sign-in failed. Check your credentials.</t>
  </si>
  <si>
    <t>Re-enter credentials; reset password if repeated</t>
  </si>
  <si>
    <t>AUTH-423</t>
  </si>
  <si>
    <t>Account locked after failed attempts</t>
  </si>
  <si>
    <t>Account locked for 15 minutes.</t>
  </si>
  <si>
    <t>Wait for lockout window; owner can unlock in Admin</t>
  </si>
  <si>
    <t>After window</t>
  </si>
  <si>
    <t>AUTHZ-403</t>
  </si>
  <si>
    <t>Permission denied for action</t>
  </si>
  <si>
    <t>You don't have permission for this action.</t>
  </si>
  <si>
    <t>Request role change from admin (attempt is logged)</t>
  </si>
  <si>
    <t>BRK-AUTH-01</t>
  </si>
  <si>
    <t>Broker session expired / token invalid</t>
  </si>
  <si>
    <t>Broker session expired. Reconnect to continue.</t>
  </si>
  <si>
    <t>Reconnect via wizard; check TOTP clock sync</t>
  </si>
  <si>
    <t>After re-auth</t>
  </si>
  <si>
    <t>BRK-RMS-02</t>
  </si>
  <si>
    <t>Broker RMS rejected order (their risk system)</t>
  </si>
  <si>
    <t>Broker rejected the order: {broker_reason}.</t>
  </si>
  <si>
    <t>Review margin/product type; broker reason shown verbatim</t>
  </si>
  <si>
    <t>No (modify first)</t>
  </si>
  <si>
    <t>BRK-MARGIN-03</t>
  </si>
  <si>
    <t>Insufficient margin at broker</t>
  </si>
  <si>
    <t>Not enough margin for this order.</t>
  </si>
  <si>
    <t>Reduce size or add funds; margin detail displayed</t>
  </si>
  <si>
    <t>BRK-RATE-04</t>
  </si>
  <si>
    <t>Broker API rate limit hit</t>
  </si>
  <si>
    <t>Broker is throttling requests. Retrying shortly.</t>
  </si>
  <si>
    <t>Automatic backoff; batch operations queued</t>
  </si>
  <si>
    <t>Auto</t>
  </si>
  <si>
    <t>BRK-NET-05</t>
  </si>
  <si>
    <t>Network failure to broker API</t>
  </si>
  <si>
    <t>Can't reach {broker}. Connection is being retried.</t>
  </si>
  <si>
    <t>Auto-retry with backoff; check Health panel if persistent</t>
  </si>
  <si>
    <t>RISK-BLK-10</t>
  </si>
  <si>
    <t>Hard risk rule blocked order</t>
  </si>
  <si>
    <t>Order blocked: {rule_name} ({measured} vs limit {threshold}).</t>
  </si>
  <si>
    <t>Reduce size or review limits; hard limits need RK-18 process</t>
  </si>
  <si>
    <t>Session is BLOCKED by kill switch</t>
  </si>
  <si>
    <t>Trading is blocked for this session (kill switch).</t>
  </si>
  <si>
    <t>Exits only; session unblocks tomorrow after review note</t>
  </si>
  <si>
    <t>Illegal order state transition attempted</t>
  </si>
  <si>
    <t>This order can't be modified in its current state.</t>
  </si>
  <si>
    <t>Refresh order book; state may have changed at broker</t>
  </si>
  <si>
    <t>ORD-DUP-21</t>
  </si>
  <si>
    <t>Duplicate order detected (idempotency)</t>
  </si>
  <si>
    <t>This looks like a duplicate order and was not re-sent.</t>
  </si>
  <si>
    <t>Original result shown; intentional repeat → change any field</t>
  </si>
  <si>
    <t>Feed degraded/disconnected</t>
  </si>
  <si>
    <t>Live data degraded - order entry paused.</t>
  </si>
  <si>
    <t>Auto-failover in progress; see Health panel</t>
  </si>
  <si>
    <t>DATA-GAP-31</t>
  </si>
  <si>
    <t>Historical data gap detected</t>
  </si>
  <si>
    <t>Some candles were backfilled and are marked accordingly.</t>
  </si>
  <si>
    <t>Backfill runs automatically; gaps logged in data report</t>
  </si>
  <si>
    <t>STRAT-VAL-40</t>
  </si>
  <si>
    <t>Strategy definition failed validation</t>
  </si>
  <si>
    <t>Strategy has {n} rule errors - see highlighted blocks.</t>
  </si>
  <si>
    <t>Fix listed blocks; validator pinpoints exact rule ids</t>
  </si>
  <si>
    <t>Determinism check failed (results differ across runs)</t>
  </si>
  <si>
    <t>Backtest result was non-deterministic and was discarded.</t>
  </si>
  <si>
    <t>Report auto-filed as Critical bug with run seeds attached</t>
  </si>
  <si>
    <t>AI-SCHEMA-50</t>
  </si>
  <si>
    <t>AI output failed explainability schema</t>
  </si>
  <si>
    <t>The assistant's answer didn't meet evidence standards and was withheld.</t>
  </si>
  <si>
    <t>Auto-retried twice; persistent failure files a defect</t>
  </si>
  <si>
    <t>Auto x2</t>
  </si>
  <si>
    <t>AI-BUDGET-51</t>
  </si>
  <si>
    <t>AI token budget exhausted</t>
  </si>
  <si>
    <t>Monthly AI budget reached.</t>
  </si>
  <si>
    <t>Raise budget in settings (edition caps apply) or wait for reset</t>
  </si>
  <si>
    <t>Next cycle</t>
  </si>
  <si>
    <t>CFG-INVALID-60</t>
  </si>
  <si>
    <t>Config</t>
  </si>
  <si>
    <t>Invalid configuration at boot</t>
  </si>
  <si>
    <t>Setting {key} is invalid: {reason}. Using safe default.</t>
  </si>
  <si>
    <t>Fix in Settings; boot continues with defaults where safe</t>
  </si>
  <si>
    <t>LIC-EXPIRED-70</t>
  </si>
  <si>
    <t>License</t>
  </si>
  <si>
    <t>License expired beyond offline grace</t>
  </si>
  <si>
    <t>License can't be verified. Live trading is disabled.</t>
  </si>
  <si>
    <t>Reconnect to internet / renew; paper mode remains available</t>
  </si>
  <si>
    <t>After renew</t>
  </si>
  <si>
    <t>SYS-AUDIT-90</t>
  </si>
  <si>
    <t>Audit chain verification failure</t>
  </si>
  <si>
    <t>CRITICAL: audit log integrity check failed.</t>
  </si>
  <si>
    <t>Trading halts; restore-from-backup runbook; contact support</t>
  </si>
  <si>
    <t>NOTES: Format: DOMAIN-NAME-NN. Every raised exception maps to exactly one code (Coding Standards: exception hierarchy); user-facing strings come from this catalog only. API layer returns the code in RFC-7807 'type'. Codes are append-only - never reuse or renumber.</t>
  </si>
  <si>
    <t>Tool / Command</t>
  </si>
  <si>
    <t>Verification</t>
  </si>
  <si>
    <t>Environments</t>
  </si>
  <si>
    <t>Define dev / staging / prod-live configs via pydantic-settings env layering</t>
  </si>
  <si>
    <t>.env.dev / .env.staging / vault-backed prod</t>
  </si>
  <si>
    <t>App banner shows correct environment; LIVE requires explicit flag</t>
  </si>
  <si>
    <t>Version Control</t>
  </si>
  <si>
    <t>Trunk-based flow: short-lived branches → PR → squash merge; tags vX.Y.Z</t>
  </si>
  <si>
    <t>Git + GitHub, conventional commits</t>
  </si>
  <si>
    <t>Changelog auto-generated from commits</t>
  </si>
  <si>
    <t>Pipeline: ruff → mypy → pytest (+coverage gate) → security scans → build</t>
  </si>
  <si>
    <t>GitHub Actions matrix (Win + Linux)</t>
  </si>
  <si>
    <t>All gates green; artefacts uploaded</t>
  </si>
  <si>
    <t>Containers</t>
  </si>
  <si>
    <t>Dockerfiles for API service, data engine, worker; compose for local stack</t>
  </si>
  <si>
    <t>Docker, docker-compose</t>
  </si>
  <si>
    <t>docker compose up boots full stack with health checks green</t>
  </si>
  <si>
    <t>Packaging</t>
  </si>
  <si>
    <t>Desktop build: PyInstaller signed installer per OS</t>
  </si>
  <si>
    <t>PyInstaller + code signing</t>
  </si>
  <si>
    <t>Fresh-VM install test passes smoke script</t>
  </si>
  <si>
    <t>Database</t>
  </si>
  <si>
    <t>Run Alembic migrations with pre-migration backup</t>
  </si>
  <si>
    <t>alembic upgrade head</t>
  </si>
  <si>
    <t>Schema version matches release manifest; backup restorable</t>
  </si>
  <si>
    <t>Provision broker keys via in-app wizard only (never files)</t>
  </si>
  <si>
    <t>OS keyring + AES-GCM store</t>
  </si>
  <si>
    <t>gitleaks clean; no secrets in artefacts</t>
  </si>
  <si>
    <t>Monitoring</t>
  </si>
  <si>
    <t>Deploy Prometheus exporters + Grafana dashboards + alert rules</t>
  </si>
  <si>
    <t>Prometheus, Grafana, alertmanager → Telegram</t>
  </si>
  <si>
    <t>Test alert fires end-to-end</t>
  </si>
  <si>
    <t>Backup</t>
  </si>
  <si>
    <t>Nightly DB dump + Parquet lake sync; weekly full; off-box copy</t>
  </si>
  <si>
    <t>cron/systemd timers + rclone (encrypted)</t>
  </si>
  <si>
    <t>Monthly restore drill documented</t>
  </si>
  <si>
    <t>Release Gate</t>
  </si>
  <si>
    <t>Paper-trading soak (TS-14) + golden backtests + perf run signed off</t>
  </si>
  <si>
    <t>Release checklist issue template</t>
  </si>
  <si>
    <t>All gate items checked in release issue</t>
  </si>
  <si>
    <t>Rollout</t>
  </si>
  <si>
    <t>Staged: staging → paper-live → live; feature flags for risky modules</t>
  </si>
  <si>
    <t>Config flags</t>
  </si>
  <si>
    <t>Rollback = previous tag + down-migration tested</t>
  </si>
  <si>
    <t>Runbook: workstation loss, DB corruption, broker outage mid-position</t>
  </si>
  <si>
    <t>docs/runbooks/DR.md</t>
  </si>
  <si>
    <t>Quarterly drill: restore to trading-capable in &lt; 2 h</t>
  </si>
  <si>
    <t>Release Mgmt</t>
  </si>
  <si>
    <t>Tag, changelog, GitHub release with signed artefacts, version bump</t>
  </si>
  <si>
    <t>Release workflow</t>
  </si>
  <si>
    <t>Update check in app detects new signed version</t>
  </si>
  <si>
    <t>Log Stream</t>
  </si>
  <si>
    <t>Format &amp; Fields</t>
  </si>
  <si>
    <t>Sink / Rotation</t>
  </si>
  <si>
    <t>Retention</t>
  </si>
  <si>
    <t>Access</t>
  </si>
  <si>
    <t>Alert Hooks</t>
  </si>
  <si>
    <t>Error Log</t>
  </si>
  <si>
    <t>ERROR/CRITICAL application events with stack traces (redacted)</t>
  </si>
  <si>
    <t>JSON: ts, level, event, error_code, module, trace_id, context</t>
  </si>
  <si>
    <t>logs/error.jsonl, size-rotate 50MB x10</t>
  </si>
  <si>
    <t>90 days</t>
  </si>
  <si>
    <t>Owner/Admin</t>
  </si>
  <si>
    <t>CRITICAL → immediate Telegram; ERROR rate &gt; 10/min → alert</t>
  </si>
  <si>
    <t>Audit Log</t>
  </si>
  <si>
    <t>Security + trading governance events (hash-chained, DB)</t>
  </si>
  <si>
    <t>audit_log table: actor, event_type, payload, prev_hash</t>
  </si>
  <si>
    <t>PostgreSQL append-only + daily anchor export</t>
  </si>
  <si>
    <t>Owner/Admin (read-only)</t>
  </si>
  <si>
    <t>Chain-verification failure → CRITICAL</t>
  </si>
  <si>
    <t>Trade Log</t>
  </si>
  <si>
    <t>Every order state transition, fill, rejection with broker payloads (redacted)</t>
  </si>
  <si>
    <t>JSON: order_id, transition, broker_code, latency_ms</t>
  </si>
  <si>
    <t>logs/trade.jsonl daily-rotate</t>
  </si>
  <si>
    <t>7 years (archived)</t>
  </si>
  <si>
    <t>Owner/Admin/Trader</t>
  </si>
  <si>
    <t>Reject rate &gt; 20% over 10 orders → alert</t>
  </si>
  <si>
    <t>Performance Log</t>
  </si>
  <si>
    <t>Latency histograms, frame times, queue depths, GC pauses</t>
  </si>
  <si>
    <t>Metrics via Prometheus + slow-op JSON records (&gt; budget ops)</t>
  </si>
  <si>
    <t>Prometheus TSDB 30d + slowlog file</t>
  </si>
  <si>
    <t>30 days</t>
  </si>
  <si>
    <t>PB targets breached → warning; order-path p95 &gt; 150ms → alert</t>
  </si>
  <si>
    <t>AI Log</t>
  </si>
  <si>
    <t>Every AI request/response, model version, evidence refs, tokens, feedback</t>
  </si>
  <si>
    <t>ai_outputs table + ai.jsonl (prompt hashes, not raw prompts with user data)</t>
  </si>
  <si>
    <t>DB + file daily-rotate</t>
  </si>
  <si>
    <t>180 days (then Parquet archive)</t>
  </si>
  <si>
    <t>Schema-violation (AI-13) rate &gt; 1% → alert</t>
  </si>
  <si>
    <t>API Log</t>
  </si>
  <si>
    <t>Gateway access: endpoint, status, latency, rate-limit hits, idempotency replays</t>
  </si>
  <si>
    <t>Combined JSON access log with trace_id</t>
  </si>
  <si>
    <t>logs/api.jsonl daily-rotate</t>
  </si>
  <si>
    <t>5xx &gt; 1% or auth failures spike → alert</t>
  </si>
  <si>
    <t>User Activity Log</t>
  </si>
  <si>
    <t>UI actions of governance interest: layout export, settings change, data export, session lock</t>
  </si>
  <si>
    <t>JSON: user, action, target, ts (no keystroke telemetry - privacy stance)</t>
  </si>
  <si>
    <t>logs/activity.jsonl daily-rotate</t>
  </si>
  <si>
    <t>180 days</t>
  </si>
  <si>
    <t>Mass-export anomaly → notice</t>
  </si>
  <si>
    <t>Correlation</t>
  </si>
  <si>
    <t>trace_id joins one user action across all streams (UI → use case → broker → fill)</t>
  </si>
  <si>
    <t>UUID v7 trace_id injected at command creation, propagated via contextvars</t>
  </si>
  <si>
    <t>Missing trace_id in any stream = lint error in log schema tests</t>
  </si>
  <si>
    <t>NOTES: All file logs are structlog JSON lines, machine-parseable; nothing user-identifying beyond user_id; secrets redaction filter runs on every handler and is unit-tested (SEC-07). Log schema versioned; parsers in tools/logs/.</t>
  </si>
  <si>
    <t>Metric / Check</t>
  </si>
  <si>
    <t>Instrumentation</t>
  </si>
  <si>
    <t>SLO / Threshold</t>
  </si>
  <si>
    <t>Alert (channel)</t>
  </si>
  <si>
    <t>Dashboard Panel</t>
  </si>
  <si>
    <t>Availability</t>
  </si>
  <si>
    <t>Trading-path availability during market hours (order placeable + live data)</t>
  </si>
  <si>
    <t>Synthetic canary: paper order round-trip every 60 s</t>
  </si>
  <si>
    <t>SLO 99.5% market hours / month</t>
  </si>
  <si>
    <t>2 consecutive canary fails → Telegram CRITICAL</t>
  </si>
  <si>
    <t>Uptime strip</t>
  </si>
  <si>
    <t>Latency</t>
  </si>
  <si>
    <t>Order path internal overhead p50/p95/p99</t>
  </si>
  <si>
    <t>Histogram around UseCase→BrokerPort</t>
  </si>
  <si>
    <t>p95 &lt; 150 ms (PB-01)</t>
  </si>
  <si>
    <t>p95 &gt; 150 ms for 5 min → warning</t>
  </si>
  <si>
    <t>Order latency</t>
  </si>
  <si>
    <t>Tick → UI paint p95</t>
  </si>
  <si>
    <t>Embedded timestamps through pipeline</t>
  </si>
  <si>
    <t>&lt; 250 ms (PB-03)</t>
  </si>
  <si>
    <t>&gt; 400 ms sustained → warning</t>
  </si>
  <si>
    <t>Data pipeline</t>
  </si>
  <si>
    <t>Throughput</t>
  </si>
  <si>
    <t>Ticks/s in vs processed; queue depth</t>
  </si>
  <si>
    <t>Counters + gauge on tick_queue</t>
  </si>
  <si>
    <t>Queue depth &lt; 10% capacity steady-state</t>
  </si>
  <si>
    <t>Conflation mode active &gt; 60 s → notice</t>
  </si>
  <si>
    <t>Errors</t>
  </si>
  <si>
    <t>Error rate by code (Error Code Catalog)</t>
  </si>
  <si>
    <t>Counter labelled by error code</t>
  </si>
  <si>
    <t>BRK-* errors &lt; 2% of requests</t>
  </si>
  <si>
    <t>Any SYS-AUDIT-90 → page immediately</t>
  </si>
  <si>
    <t>Errors board</t>
  </si>
  <si>
    <t>Saturation</t>
  </si>
  <si>
    <t>Memory RSS, CPU, disk free (lake volume)</t>
  </si>
  <si>
    <t>Process + host exporters</t>
  </si>
  <si>
    <t>RSS &lt; 600 MB (PB-19); disk free &gt; 15%</t>
  </si>
  <si>
    <t>Disk &lt; 10% → warning (recorder at risk)</t>
  </si>
  <si>
    <t>Host board</t>
  </si>
  <si>
    <t>Broker Health</t>
  </si>
  <si>
    <t>Per-broker: session validity, API error %, WS uptime</t>
  </si>
  <si>
    <t>Adapter-level probes</t>
  </si>
  <si>
    <t>Session refreshed ≥ 30 min before expiry</t>
  </si>
  <si>
    <t>AUTH_EXPIRED prediction → pre-emptive notice 07:30</t>
  </si>
  <si>
    <t>Broker tiles</t>
  </si>
  <si>
    <t>Data Quality</t>
  </si>
  <si>
    <t>Gap count, backfilled-candle %, quarantined symbols</t>
  </si>
  <si>
    <t>Daily data-quality job</t>
  </si>
  <si>
    <t>Backfilled &lt; 0.5% of candles/day</t>
  </si>
  <si>
    <t>Gaps on active watchlist symbols → notice</t>
  </si>
  <si>
    <t>Data quality</t>
  </si>
  <si>
    <t>Jobs</t>
  </si>
  <si>
    <t>Scheduler job success/duration (ETL, backup, stress, briefing)</t>
  </si>
  <si>
    <t>JobCompleted/Failed events → metrics</t>
  </si>
  <si>
    <t>Backup success 100%; ETL &lt; 10 min</t>
  </si>
  <si>
    <t>Any backup failure → CRITICAL</t>
  </si>
  <si>
    <t>Jobs board</t>
  </si>
  <si>
    <t>AI Quality</t>
  </si>
  <si>
    <t>Schema-violation rate, feedback score trend, calibration drift</t>
  </si>
  <si>
    <t>ai_outputs analytics job</t>
  </si>
  <si>
    <t>Violations &lt; 1%; calibration ECE &lt; 0.05</t>
  </si>
  <si>
    <t>Drift beyond band → AI model review task</t>
  </si>
  <si>
    <t>AI board</t>
  </si>
  <si>
    <t>Tracing</t>
  </si>
  <si>
    <t>trace_id spans: UI action → use case → broker → fill</t>
  </si>
  <si>
    <t>OpenTelemetry SDK (console/file exporter locally; OTLP in enterprise)</t>
  </si>
  <si>
    <t>100% of order-path actions traced</t>
  </si>
  <si>
    <t>Trace explorer (enterprise)</t>
  </si>
  <si>
    <t>Health Checks</t>
  </si>
  <si>
    <t>Liveness/readiness per component (feeds, DB, bus, AI, license)</t>
  </si>
  <si>
    <t>GET /api/v1/health composite</t>
  </si>
  <si>
    <t>All green before order entry enabled</t>
  </si>
  <si>
    <t>Red component blocking orders → banner + alert</t>
  </si>
  <si>
    <t>Health tiles (SCR-20)</t>
  </si>
  <si>
    <t>NOTES: Error-budget policy: if trading-path SLO burns &gt; 50% of monthly budget, feature work pauses for reliability work (recorded in Sprint Planner). Single-user installs run the same instrumentation with local Prometheus + bundled Grafana dashboards; enterprise adds OTLP + central monitoring.</t>
  </si>
  <si>
    <t>Scenario</t>
  </si>
  <si>
    <t>RPO / RTO Target</t>
  </si>
  <si>
    <t>Backup Strategy</t>
  </si>
  <si>
    <t>Restore / Recovery Procedure</t>
  </si>
  <si>
    <t>Failover Behaviour</t>
  </si>
  <si>
    <t>Drill Frequency</t>
  </si>
  <si>
    <t>Workstation loss (theft/failure)</t>
  </si>
  <si>
    <t>RPO 24h / RTO 2h</t>
  </si>
  <si>
    <t>Nightly encrypted DB dump + Parquet sync + settings/layout export to off-box storage (rclone, encrypted)</t>
  </si>
  <si>
    <t>New machine: install signed build → restore dump → alembic verify → keyring re-provision (keys re-entered via wizard) → reconcile with broker → smoke checklist</t>
  </si>
  <si>
    <t>Trade via broker's own app/terminal in the interim (documented in runbook)</t>
  </si>
  <si>
    <t>Quarterly</t>
  </si>
  <si>
    <t>Database corruption</t>
  </si>
  <si>
    <t>RPO 24h / RTO 1h</t>
  </si>
  <si>
    <t>Nightly logical dump + WAL archiving (enterprise Postgres)</t>
  </si>
  <si>
    <t>Stop app → restore last dump (+ WAL replay if available) → run integrity suite (audit chain verify, positions-rebuild-from-trades) → resume</t>
  </si>
  <si>
    <t>App refuses to start on failed integrity check (never trades on suspect data)</t>
  </si>
  <si>
    <t>Quarterly (restore drill)</t>
  </si>
  <si>
    <t>Configuration loss/corruption</t>
  </si>
  <si>
    <t>RPO 24h / RTO 15m</t>
  </si>
  <si>
    <t>Versioned config exports with each backup; settings schema-validated</t>
  </si>
  <si>
    <t>Restore config export → schema validation → diff report shown before apply</t>
  </si>
  <si>
    <t>App boots with safe defaults + banner if config invalid</t>
  </si>
  <si>
    <t>Semi-annual</t>
  </si>
  <si>
    <t>Broker outage mid-position</t>
  </si>
  <si>
    <t>RTO immediate (procedure)</t>
  </si>
  <si>
    <t>Runbook: switch to broker's direct terminal/phone desk for position management; platform marks account DEGRADED; reconcile fully once API returns</t>
  </si>
  <si>
    <t>Execution failover to secondary broker is manual-confirm only (never silent, positions don't transfer)</t>
  </si>
  <si>
    <t>Tabletop quarterly</t>
  </si>
  <si>
    <t>Market data feed outage</t>
  </si>
  <si>
    <t>RTO &lt; 60s (auto)</t>
  </si>
  <si>
    <t>Multiple feed adapters configured</t>
  </si>
  <si>
    <t>Automatic failover to secondary data feed; candles marked 'secondary-source'; primary resume auto-detected</t>
  </si>
  <si>
    <t>Strategy signal generation pauses if no feed within 60s (fail-safe)</t>
  </si>
  <si>
    <t>Monthly (fault injection TS-17)</t>
  </si>
  <si>
    <t>Bad release / regression</t>
  </si>
  <si>
    <t>RTO 30m</t>
  </si>
  <si>
    <t>Signed artefacts of last 5 releases retained; DB migrations always reversible (TS-06)</t>
  </si>
  <si>
    <t>Rollback runbook: previous tag install → alembic downgrade → golden smoke suite → resume</t>
  </si>
  <si>
    <t>Feature flags allow disabling a faulty module without full rollback</t>
  </si>
  <si>
    <t>Per release (rollback rehearsed in staging)</t>
  </si>
  <si>
    <t>Ransomware / host compromise</t>
  </si>
  <si>
    <t>RPO 24h / RTO 8h</t>
  </si>
  <si>
    <t>3-2-1: local + off-box + offline copy monthly; backups encrypted, keys stored separately (SEC-19)</t>
  </si>
  <si>
    <t>Treat host as lost → clean OS → workstation-loss procedure from offline copy → rotate ALL credentials (brokers, API keys)</t>
  </si>
  <si>
    <t>Kill switch executable from mobile (v2) for open positions</t>
  </si>
  <si>
    <t>Annual full drill</t>
  </si>
  <si>
    <t>Cloud/API dependency outage (LLM, news)</t>
  </si>
  <si>
    <t>Degrade gracefully</t>
  </si>
  <si>
    <t>AI/news features enter DEGRADED mode with banner; trading path has zero dependency on these services by design</t>
  </si>
  <si>
    <t>Core trading unaffected - dependency isolation verified in chaos tests</t>
  </si>
  <si>
    <t>Monthly (chaos)</t>
  </si>
  <si>
    <t>NOTES: Principles: the trading path must survive the loss of every non-trading dependency; anything that cannot be restored must be re-provisionable (credentials via wizard); every restore path is rehearsed, not just documented. Drill results logged in the Change Log with 'DR' tag.</t>
  </si>
  <si>
    <t>Channel / Type</t>
  </si>
  <si>
    <t>Definition</t>
  </si>
  <si>
    <t>Entry Criteria</t>
  </si>
  <si>
    <t>Audience</t>
  </si>
  <si>
    <t>Support Window</t>
  </si>
  <si>
    <t>Cadence / Trigger</t>
  </si>
  <si>
    <t>Alpha</t>
  </si>
  <si>
    <t>Feature-complete for the increment but unpolished; internal only; schema may change</t>
  </si>
  <si>
    <t>CI green; unit+integration suites pass; known-issues list written</t>
  </si>
  <si>
    <t>Developers only</t>
  </si>
  <si>
    <t>End of each sprint</t>
  </si>
  <si>
    <t>Beta</t>
  </si>
  <si>
    <t>Feature-frozen; external testers; paper-trading only enforced by build flag</t>
  </si>
  <si>
    <t>All Alpha criteria + UAT scripts executed + no Critical bugs open</t>
  </si>
  <si>
    <t>Invited beta users</t>
  </si>
  <si>
    <t>Until next Beta/RC</t>
  </si>
  <si>
    <t>Per minor version, ~2 wks before RC</t>
  </si>
  <si>
    <t>RC (Release Candidate)</t>
  </si>
  <si>
    <t>Believed shippable; only Critical fixes accepted between RC and Stable</t>
  </si>
  <si>
    <t>Beta feedback triaged; perf run green (PB targets); security scans clean; paper soak (TS-14) complete for trading changes</t>
  </si>
  <si>
    <t>Beta users + staging</t>
  </si>
  <si>
    <t>Superseded by Stable</t>
  </si>
  <si>
    <t>1-2 per release</t>
  </si>
  <si>
    <t>General availability, signed installer, auto-update channel default</t>
  </si>
  <si>
    <t>RC burned-in 1 week with zero Critical; release checklist issue 100%; rollback rehearsed</t>
  </si>
  <si>
    <t>All users</t>
  </si>
  <si>
    <t>Until next Stable + 90 days</t>
  </si>
  <si>
    <t>Per Release Planner (v0.x every ~6-8 wks)</t>
  </si>
  <si>
    <t>LTS</t>
  </si>
  <si>
    <t>Long-term support snapshot for Enterprise: security + Critical fixes only backported</t>
  </si>
  <si>
    <t>A designated Stable (v1.5, v2.x) after 30 days in field without Critical issues</t>
  </si>
  <si>
    <t>Enterprise customers</t>
  </si>
  <si>
    <t>18 months</t>
  </si>
  <si>
    <t>Roughly yearly</t>
  </si>
  <si>
    <t>Hotfix</t>
  </si>
  <si>
    <t>Emergency fix for Critical defect in Stable/LTS (trading-affecting)</t>
  </si>
  <si>
    <t>Reproduced; minimal diff; targeted tests + full regression on affected area; dual review</t>
  </si>
  <si>
    <t>Affected channels immediately</t>
  </si>
  <si>
    <t>Merged into next Stable</t>
  </si>
  <si>
    <t>As needed - target &lt; 24h for trading-critical</t>
  </si>
  <si>
    <t>Patch</t>
  </si>
  <si>
    <t>Non-urgent fix bundle (x.y.Z bump): Minor/Cosmetic bugs, doc updates, dependency bumps</t>
  </si>
  <si>
    <t>Standard CI gates; no schema changes; no behaviour changes to risk engine</t>
  </si>
  <si>
    <t>Stable channel</t>
  </si>
  <si>
    <t>Every 2-4 weeks as needed</t>
  </si>
  <si>
    <t>NOTES: Versioning: SemVer (MAJOR.MINOR.PATCH) + channel tag (2.1.0-rc.1). Risk-engine changes can never ship as Patch - Minor minimum, with paper soak. Update client respects channel selection; Enterprise defaults to LTS. Release Planner sheet holds the version-by-version scope; this sheet holds the process.</t>
  </si>
  <si>
    <t>Codename</t>
  </si>
  <si>
    <t>Scope Summary</t>
  </si>
  <si>
    <t>Headline Features</t>
  </si>
  <si>
    <t>Gate Criteria</t>
  </si>
  <si>
    <t>v0.1</t>
  </si>
  <si>
    <t>Bedrock</t>
  </si>
  <si>
    <t>Foundation + data</t>
  </si>
  <si>
    <t>Skeleton, CI, instrument master, streaming, watchlists, workspace shell, themes</t>
  </si>
  <si>
    <t>CI green; NFR-002 UI perf met; layout persistence works</t>
  </si>
  <si>
    <t>Month 2</t>
  </si>
  <si>
    <t>v0.3</t>
  </si>
  <si>
    <t>Cockpit</t>
  </si>
  <si>
    <t>Paper trading core</t>
  </si>
  <si>
    <t>OMS, risk engine v1, paper adapter, positions, audit log</t>
  </si>
  <si>
    <t>TS-01/02 coverage gates; risk boundary tests pass</t>
  </si>
  <si>
    <t>Month 4</t>
  </si>
  <si>
    <t>v0.5</t>
  </si>
  <si>
    <t>Ignition</t>
  </si>
  <si>
    <t>Live single-broker</t>
  </si>
  <si>
    <t>Zerodha live, brackets, kill switch, alerts, journal</t>
  </si>
  <si>
    <t>2-week paper soak zero-critical; reconciliation clean 5 sessions</t>
  </si>
  <si>
    <t>Month 5</t>
  </si>
  <si>
    <t>v0.8</t>
  </si>
  <si>
    <t>Playbook</t>
  </si>
  <si>
    <t>Strategy &amp; backtesting</t>
  </si>
  <si>
    <t>Strategy DSL, 8 strategies, backtester, replay, walk-forward reports</t>
  </si>
  <si>
    <t>Golden backtests locked; determinism PB-08 green</t>
  </si>
  <si>
    <t>Month 7</t>
  </si>
  <si>
    <t>Copilot</t>
  </si>
  <si>
    <t>AI assistant + multi-broker + research (MVP-complete)</t>
  </si>
  <si>
    <t>Briefings, trade validation, scoring, Upstox + Angel One, fundamentals screens</t>
  </si>
  <si>
    <t>Explainability schema enforced; all v1 UAT journeys signed off</t>
  </si>
  <si>
    <t>Month 9</t>
  </si>
  <si>
    <t>Fortress</t>
  </si>
  <si>
    <t>Enterprise hardening</t>
  </si>
  <si>
    <t>RBAC, admin panel, monitoring stack, installer, DR drill complete</t>
  </si>
  <si>
    <t>Security checklist 100%; DR drill &lt; 2 h</t>
  </si>
  <si>
    <t>Month 11</t>
  </si>
  <si>
    <t>Ecosystem</t>
  </si>
  <si>
    <t>Extensibility &amp; reach</t>
  </si>
  <si>
    <t>Plugin SDK (strategies/brokers/data), web client (FastAPI+React), mobile companion (read-only + alerts)</t>
  </si>
  <si>
    <t>Plugin API stability contract; external beta feedback</t>
  </si>
  <si>
    <t>Month 14+</t>
  </si>
  <si>
    <t>v2.5+</t>
  </si>
  <si>
    <t>Horizon</t>
  </si>
  <si>
    <t>Future AI &amp; global</t>
  </si>
  <si>
    <t>Feedback-trained ranking models, scenario engine v2, IBKR/Alpaca global brokers, options analytics</t>
  </si>
  <si>
    <t>Defined at v2.0 review</t>
  </si>
  <si>
    <t>Future</t>
  </si>
  <si>
    <t>Bug ID</t>
  </si>
  <si>
    <t>Reported</t>
  </si>
  <si>
    <t>Severity</t>
  </si>
  <si>
    <t>Summary</t>
  </si>
  <si>
    <t>Steps to Reproduce</t>
  </si>
  <si>
    <t>Reported By</t>
  </si>
  <si>
    <t>Assigned To</t>
  </si>
  <si>
    <t>Fix Version</t>
  </si>
  <si>
    <t>BUG-0001</t>
  </si>
  <si>
    <t>2026-07-14</t>
  </si>
  <si>
    <t>Major</t>
  </si>
  <si>
    <t>EXAMPLE ROW - WS client misses resubscribe for depth-only symbols after reconnect</t>
  </si>
  <si>
    <t>1) Subscribe depth for symbol X  2) Kill network 10 s  3) Restore  4) Depth panel stays frozen while LTP resumes</t>
  </si>
  <si>
    <t>v0.1.1</t>
  </si>
  <si>
    <t>NOTES: Severity scale: Critical (money/data at risk, live trading blocked) / Major / Minor / Cosmetic. Status flow: Open → Triaged → In Progress → In Review → Verified → Closed. The first row is an example - replace it and add real defects below.</t>
  </si>
  <si>
    <t>Change Description</t>
  </si>
  <si>
    <t>PR / Ref</t>
  </si>
  <si>
    <t>v0.0.1</t>
  </si>
  <si>
    <t>Added</t>
  </si>
  <si>
    <t>project</t>
  </si>
  <si>
    <t>EXAMPLE ROW - Initialised repository with Clean Architecture skeleton and CI pipeline</t>
  </si>
  <si>
    <t>PR #1</t>
  </si>
  <si>
    <t>NOTES: Types follow Keep-a-Changelog: Added / Changed / Deprecated / Removed / Fixed / Security. One row per notable change; roll up into release notes at each tag. The first row is an example - replace with real entries.</t>
  </si>
  <si>
    <t>Doc ID</t>
  </si>
  <si>
    <t>Title</t>
  </si>
  <si>
    <t>Format / Tooling</t>
  </si>
  <si>
    <t>DOC-01</t>
  </si>
  <si>
    <t>Architecture</t>
  </si>
  <si>
    <t>Architecture Overview + C4 diagrams</t>
  </si>
  <si>
    <t>Developers</t>
  </si>
  <si>
    <t>Markdown + Mermaid/Structurizr</t>
  </si>
  <si>
    <t>docs/architecture/</t>
  </si>
  <si>
    <t>DOC-02</t>
  </si>
  <si>
    <t>ADR log (decision records)</t>
  </si>
  <si>
    <t>MADR template</t>
  </si>
  <si>
    <t>docs/adr/</t>
  </si>
  <si>
    <t>DOC-03</t>
  </si>
  <si>
    <t>REST/WS API reference</t>
  </si>
  <si>
    <t>Integrators</t>
  </si>
  <si>
    <t>OpenAPI auto-gen (FastAPI) + Redoc</t>
  </si>
  <si>
    <t>docs/api/ (generated)</t>
  </si>
  <si>
    <t>DOC-04</t>
  </si>
  <si>
    <t>Developer</t>
  </si>
  <si>
    <t>Developer guide: setup, layering rules, contribution flow</t>
  </si>
  <si>
    <t>Markdown + MkDocs Material</t>
  </si>
  <si>
    <t>docs/dev-guide/</t>
  </si>
  <si>
    <t>DOC-05</t>
  </si>
  <si>
    <t>Coding standards &amp; review checklist</t>
  </si>
  <si>
    <t>Markdown</t>
  </si>
  <si>
    <t>docs/standards.md</t>
  </si>
  <si>
    <t>DOC-06</t>
  </si>
  <si>
    <t>User manual: workspace, trading, portfolio, AI assistant</t>
  </si>
  <si>
    <t>End users</t>
  </si>
  <si>
    <t>MkDocs + screenshots</t>
  </si>
  <si>
    <t>docs/user-manual/</t>
  </si>
  <si>
    <t>DOC-07</t>
  </si>
  <si>
    <t>Installation guide (Windows/Linux/Docker)</t>
  </si>
  <si>
    <t>docs/install.md</t>
  </si>
  <si>
    <t>DOC-08</t>
  </si>
  <si>
    <t>Strategy playbook cards (per Strategy Library row)</t>
  </si>
  <si>
    <t>Traders</t>
  </si>
  <si>
    <t>Markdown cards + JSON DSL files</t>
  </si>
  <si>
    <t>docs/playbooks/</t>
  </si>
  <si>
    <t>DOC-09</t>
  </si>
  <si>
    <t>Operations</t>
  </si>
  <si>
    <t>Runbooks: DR, broker outage, data gaps, incident response</t>
  </si>
  <si>
    <t>Operators</t>
  </si>
  <si>
    <t>Markdown runbooks</t>
  </si>
  <si>
    <t>docs/runbooks/</t>
  </si>
  <si>
    <t>DOC-10</t>
  </si>
  <si>
    <t>Maintenance procedures: backups, dependency updates, cert/keys rotation</t>
  </si>
  <si>
    <t>Markdown + checklists</t>
  </si>
  <si>
    <t>docs/maintenance.md</t>
  </si>
  <si>
    <t>DOC-11</t>
  </si>
  <si>
    <t>Quality</t>
  </si>
  <si>
    <t>Test strategy &amp; perf rig definition</t>
  </si>
  <si>
    <t>docs/perf/, docs/testing.md</t>
  </si>
  <si>
    <t>DOC-12</t>
  </si>
  <si>
    <t>Risk policy document (limits, change control, kill switch)</t>
  </si>
  <si>
    <t>Markdown, versioned</t>
  </si>
  <si>
    <t>docs/risk-policy.md</t>
  </si>
  <si>
    <t>Enhancement</t>
  </si>
  <si>
    <t>Effort (T-shirt)</t>
  </si>
  <si>
    <t>Earliest Version</t>
  </si>
  <si>
    <t>FE-01</t>
  </si>
  <si>
    <t>Web client (React) on the FastAPI layer</t>
  </si>
  <si>
    <t>Access from any machine; team deployments</t>
  </si>
  <si>
    <t>L</t>
  </si>
  <si>
    <t>API already designed client-agnostic</t>
  </si>
  <si>
    <t>FE-02</t>
  </si>
  <si>
    <t>Mobile companion app (read-only + alerts + kill switch)</t>
  </si>
  <si>
    <t>Monitor and protect positions away from desk</t>
  </si>
  <si>
    <t>Kill switch = highest-value mobile action</t>
  </si>
  <si>
    <t>FE-03</t>
  </si>
  <si>
    <t>Plugin SDK: strategies, data sources, brokers</t>
  </si>
  <si>
    <t>Community/3rd-party extensibility without core changes</t>
  </si>
  <si>
    <t>Entry-point discovery; sandboxed permissions</t>
  </si>
  <si>
    <t>FE-04</t>
  </si>
  <si>
    <t>Feedback-trained ranking (AI-14) promoted to default</t>
  </si>
  <si>
    <t>Personalised opportunity ranking with proven lift</t>
  </si>
  <si>
    <t>M</t>
  </si>
  <si>
    <t>Requires 6+ months journal outcomes</t>
  </si>
  <si>
    <t>FE-05</t>
  </si>
  <si>
    <t>Conversational analytics over own trading data</t>
  </si>
  <si>
    <t>'Why was March drawdown high?' answered with evidence</t>
  </si>
  <si>
    <t>Strict grounding on local data only</t>
  </si>
  <si>
    <t>FE-06</t>
  </si>
  <si>
    <t>Markets</t>
  </si>
  <si>
    <t>Options analytics module (chains, greeks, payoff builder)</t>
  </si>
  <si>
    <t>Extends platform to derivatives strategies</t>
  </si>
  <si>
    <t>Greeks feed also improves AI-11 scenarios</t>
  </si>
  <si>
    <t>FE-07</t>
  </si>
  <si>
    <t>Global brokers live (IBKR, Alpaca)</t>
  </si>
  <si>
    <t>Multi-market coverage; US equities</t>
  </si>
  <si>
    <t>Adapters already specced in Broker sheet</t>
  </si>
  <si>
    <t>FE-08</t>
  </si>
  <si>
    <t>Alternative data connectors (bulk deals, FII/DII flows, delivery %)</t>
  </si>
  <si>
    <t>Institutional-activity context for strategies</t>
  </si>
  <si>
    <t>India-specific data edges</t>
  </si>
  <si>
    <t>FE-09</t>
  </si>
  <si>
    <t>Portfolio optimizer with heat-model constraints</t>
  </si>
  <si>
    <t>Suggested allocations respecting RK-09 heat caps</t>
  </si>
  <si>
    <t>Optimization must remain explainable</t>
  </si>
  <si>
    <t>FE-10</t>
  </si>
  <si>
    <t>Collaboration</t>
  </si>
  <si>
    <t>Multi-user desks: shared watchlists, desk risk roll-up</t>
  </si>
  <si>
    <t>Small prop desk use case</t>
  </si>
  <si>
    <t>Builds on RBAC from v1.5</t>
  </si>
  <si>
    <t>FE-11</t>
  </si>
  <si>
    <t>Automation</t>
  </si>
  <si>
    <t>Semi-auto execution: one-click approve of validated signals</t>
  </si>
  <si>
    <t>Speed without surrendering the human decision</t>
  </si>
  <si>
    <t>Still never fully autonomous by design</t>
  </si>
  <si>
    <t>FE-12</t>
  </si>
  <si>
    <t>Cloud backtest farm (parallel walk-forwards)</t>
  </si>
  <si>
    <t>Minutes instead of hours for research sweeps</t>
  </si>
  <si>
    <t>Containerised backtester makes this cheap</t>
  </si>
  <si>
    <t>Milestone 1 – Platform Foundation</t>
  </si>
  <si>
    <t>1. Repository Standards</t>
  </si>
  <si>
    <t>2. Folder Structure</t>
  </si>
  <si>
    <t>3. Development Standards</t>
  </si>
  <si>
    <t>4. Configuration Framework</t>
  </si>
  <si>
    <t>5. Constants Framework</t>
  </si>
  <si>
    <t>6. Environment Management</t>
  </si>
  <si>
    <t>7. Logging Framework</t>
  </si>
  <si>
    <t>8. Exception Framework</t>
  </si>
  <si>
    <t>9. Dependency Injection</t>
  </si>
  <si>
    <t>10. Event Bus</t>
  </si>
  <si>
    <t>11. Service Registry</t>
  </si>
  <si>
    <t>12. Application Lifecycle</t>
  </si>
  <si>
    <t>13. Settings Manager</t>
  </si>
  <si>
    <t>14. Theme Manager</t>
  </si>
  <si>
    <t>15. Resource Manager</t>
  </si>
  <si>
    <t>16. Plugin Foundation</t>
  </si>
  <si>
    <t>17. Scheduler</t>
  </si>
  <si>
    <t>18. Background Worker Framework</t>
  </si>
  <si>
    <t>19. Version Manager</t>
  </si>
  <si>
    <t>20. Bootstrap System</t>
  </si>
  <si>
    <t>Step 1 — Finalize the Repository Structure</t>
  </si>
  <si>
    <t>TradePilotOS/</t>
  </si>
  <si>
    <t>│</t>
  </si>
  <si>
    <t>├── app/</t>
  </si>
  <si>
    <t>│   ├── bootstrap/</t>
  </si>
  <si>
    <t>│   ├── lifecycle/</t>
  </si>
  <si>
    <t>│   ├── configuration/</t>
  </si>
  <si>
    <t>│   ├── constants/</t>
  </si>
  <si>
    <t>│   ├── dependency_injection/</t>
  </si>
  <si>
    <t>│   ├── events/</t>
  </si>
  <si>
    <t>│   ├── logging/</t>
  </si>
  <si>
    <t>│   ├── exceptions/</t>
  </si>
  <si>
    <t>│   ├── resources/</t>
  </si>
  <si>
    <t>│   ├── settings/</t>
  </si>
  <si>
    <t>│   ├── themes/</t>
  </si>
  <si>
    <t>│   ├── scheduler/</t>
  </si>
  <si>
    <t>│   ├── workers/</t>
  </si>
  <si>
    <t>│   ├── services/</t>
  </si>
  <si>
    <t>│   ├── plugins/</t>
  </si>
  <si>
    <t>│   ├── versioning/</t>
  </si>
  <si>
    <t>│   └── startup/</t>
  </si>
  <si>
    <t>├── core/</t>
  </si>
  <si>
    <t>│   ├── domain/</t>
  </si>
  <si>
    <t>│   ├── application/</t>
  </si>
  <si>
    <t>│   ├── infrastructure/</t>
  </si>
  <si>
    <t>│   ├── interfaces/</t>
  </si>
  <si>
    <t>│   └── shared/</t>
  </si>
  <si>
    <t>├── modules/</t>
  </si>
  <si>
    <t>│   ├── authentication/</t>
  </si>
  <si>
    <t>│   ├── workspace/</t>
  </si>
  <si>
    <t>│   ├── dashboard/</t>
  </si>
  <si>
    <t>│   ├── market_data/</t>
  </si>
  <si>
    <t>│   ├── broker/</t>
  </si>
  <si>
    <t>│   ├── orders/</t>
  </si>
  <si>
    <t>│   ├── portfolio/</t>
  </si>
  <si>
    <t>│   ├── positions/</t>
  </si>
  <si>
    <t>│   ├── watchlist/</t>
  </si>
  <si>
    <t>│   ├── scanner/</t>
  </si>
  <si>
    <t>│   ├── strategy/</t>
  </si>
  <si>
    <t>│   ├── ai/</t>
  </si>
  <si>
    <t>│   ├── research/</t>
  </si>
  <si>
    <t>│   ├── news/</t>
  </si>
  <si>
    <t>│   ├── alerts/</t>
  </si>
  <si>
    <t>│   ├── reports/</t>
  </si>
  <si>
    <t>│   ├── analytics/</t>
  </si>
  <si>
    <t>│   ├── journal/</t>
  </si>
  <si>
    <t>│   ├── risk/</t>
  </si>
  <si>
    <t>│   ├── replay/</t>
  </si>
  <si>
    <t>│   ├── paper_trading/</t>
  </si>
  <si>
    <t>│   └── administration/</t>
  </si>
  <si>
    <t>├── ui/</t>
  </si>
  <si>
    <t>│   ├── windows/</t>
  </si>
  <si>
    <t>│   ├── dialogs/</t>
  </si>
  <si>
    <t>│   ├── widgets/</t>
  </si>
  <si>
    <t>│   ├── docking/</t>
  </si>
  <si>
    <t>│   ├── navigation/</t>
  </si>
  <si>
    <t>│   ├── layouts/</t>
  </si>
  <si>
    <t>│   ├── components/</t>
  </si>
  <si>
    <t>│   ├── icons/</t>
  </si>
  <si>
    <t>│   ├── fonts/</t>
  </si>
  <si>
    <t>│   ├── animations/</t>
  </si>
  <si>
    <t>│   └── styles/</t>
  </si>
  <si>
    <t>├── data/</t>
  </si>
  <si>
    <t>│   ├── database/</t>
  </si>
  <si>
    <t>│   ├── repositories/</t>
  </si>
  <si>
    <t>│   ├── cache/</t>
  </si>
  <si>
    <t>│   ├── migrations/</t>
  </si>
  <si>
    <t>│   └── seed/</t>
  </si>
  <si>
    <t>├── integrations/</t>
  </si>
  <si>
    <t>│   ├── brokers/</t>
  </si>
  <si>
    <t>│   ├── exchanges/</t>
  </si>
  <si>
    <t>│   ├── notifications/</t>
  </si>
  <si>
    <t>│   └── external/</t>
  </si>
  <si>
    <t>├── tests/</t>
  </si>
  <si>
    <t>├── tools/</t>
  </si>
  <si>
    <t>├── scripts/</t>
  </si>
  <si>
    <t>├── docs/</t>
  </si>
  <si>
    <t>├── assets/</t>
  </si>
  <si>
    <t>├── config/</t>
  </si>
  <si>
    <t>├── logs/</t>
  </si>
  <si>
    <t>├── temp/</t>
  </si>
  <si>
    <t>├── main.py</t>
  </si>
  <si>
    <t>├── requirements.txt</t>
  </si>
  <si>
    <t>├── pyproject.toml</t>
  </si>
  <si>
    <t>├── README.md</t>
  </si>
  <si>
    <t>├── LICENSE</t>
  </si>
  <si>
    <t>└── CHANGELOG.md</t>
  </si>
  <si>
    <t>Phase 0 – Enterprise Foundation Review</t>
  </si>
  <si>
    <t>Language</t>
  </si>
  <si>
    <t>Python 3.13+</t>
  </si>
  <si>
    <t>✅</t>
  </si>
  <si>
    <t>IDE</t>
  </si>
  <si>
    <t>PyCharm</t>
  </si>
  <si>
    <t>GUI</t>
  </si>
  <si>
    <t>Clean Architecture + DDD</t>
  </si>
  <si>
    <t>Design Pattern</t>
  </si>
  <si>
    <t>MVVM + Service Layer</t>
  </si>
  <si>
    <t>Dependency Injection</t>
  </si>
  <si>
    <t>Custom Enterprise DI</t>
  </si>
  <si>
    <t>Event System</t>
  </si>
  <si>
    <t>Custom Event Bus</t>
  </si>
  <si>
    <t>ORM</t>
  </si>
  <si>
    <t>SQLAlchemy 2.x</t>
  </si>
  <si>
    <t>SQLite (Dev), PostgreSQL (Production-ready)</t>
  </si>
  <si>
    <t>YAML + Environment</t>
  </si>
  <si>
    <t>Loguru + Structured Logging</t>
  </si>
  <si>
    <t>Testing</t>
  </si>
  <si>
    <t>pytest</t>
  </si>
  <si>
    <t>PyInstaller</t>
  </si>
  <si>
    <t>Git</t>
  </si>
  <si>
    <t>Module 1: Platform Foundation</t>
  </si>
  <si>
    <t>Project bootstrap</t>
  </si>
  <si>
    <t>Configuration framework</t>
  </si>
  <si>
    <t>Constants framework</t>
  </si>
  <si>
    <t>Logging framework</t>
  </si>
  <si>
    <t>Exception framework</t>
  </si>
  <si>
    <t>Dependency Injection container</t>
  </si>
  <si>
    <t>Service Registry</t>
  </si>
  <si>
    <t>Application lifecycle</t>
  </si>
  <si>
    <t>Settings manager</t>
  </si>
  <si>
    <t>Theme manager</t>
  </si>
  <si>
    <t>Resource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</si>
</sst>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u/>
      <sz val="10"/>
      <color rgb="FF0563C1"/>
      <name val="Arial"/>
      <charset val="1"/>
    </font>
    <font>
      <sz val="10"/>
      <color rgb="FF0000FF"/>
      <name val="Arial"/>
      <charset val="1"/>
    </font>
    <font>
      <b/>
      <sz val="11"/>
      <color theme="1"/>
      <name val="Calibri"/>
      <family val="2"/>
    </font>
    <font>
      <b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3" fillId="2" borderId="0" xfId="0" applyFont="1" applyFill="1"/>
    <xf numFmtId="0" fontId="6" fillId="3" borderId="0" xfId="0" applyFont="1" applyFill="1"/>
    <xf numFmtId="0" fontId="0" fillId="3" borderId="0" xfId="0" applyFill="1"/>
    <xf numFmtId="0" fontId="7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9" fontId="5" fillId="0" borderId="1" xfId="0" applyNumberFormat="1" applyFont="1" applyBorder="1" applyAlignment="1">
      <alignment vertical="top" wrapText="1"/>
    </xf>
    <xf numFmtId="0" fontId="9" fillId="0" borderId="0" xfId="0" applyFont="1"/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695C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7B1FA2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595959"/>
      <rgbColor rgb="FF969696"/>
      <rgbColor rgb="FF1F3864"/>
      <rgbColor rgb="FF2E7D32"/>
      <rgbColor rgb="FF003300"/>
      <rgbColor rgb="FF333300"/>
      <rgbColor rgb="FFB71C1C"/>
      <rgbColor rgb="FF993366"/>
      <rgbColor rgb="FF1F4E79"/>
      <rgbColor rgb="FF3747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B2:D79"/>
  <sheetViews>
    <sheetView showGridLines="0" topLeftCell="A66" zoomScaleNormal="100" workbookViewId="0">
      <selection activeCell="D78" sqref="D78"/>
    </sheetView>
  </sheetViews>
  <sheetFormatPr defaultColWidth="8.6328125" defaultRowHeight="14.5" x14ac:dyDescent="0.35"/>
  <cols>
    <col min="1" max="1" width="4" customWidth="1"/>
    <col min="2" max="2" width="30" customWidth="1"/>
    <col min="3" max="3" width="100" customWidth="1"/>
    <col min="4" max="4" width="10" customWidth="1"/>
  </cols>
  <sheetData>
    <row r="2" spans="2:4" ht="18" x14ac:dyDescent="0.4">
      <c r="B2" s="2" t="s">
        <v>0</v>
      </c>
    </row>
    <row r="3" spans="2:4" x14ac:dyDescent="0.35">
      <c r="B3" s="3" t="s">
        <v>1</v>
      </c>
    </row>
    <row r="4" spans="2:4" x14ac:dyDescent="0.35">
      <c r="B4" s="3" t="s">
        <v>2</v>
      </c>
    </row>
    <row r="6" spans="2:4" x14ac:dyDescent="0.35">
      <c r="B6" s="4" t="s">
        <v>3</v>
      </c>
    </row>
    <row r="7" spans="2:4" x14ac:dyDescent="0.35">
      <c r="B7" s="5" t="s">
        <v>4</v>
      </c>
      <c r="C7" s="6" t="s">
        <v>5</v>
      </c>
    </row>
    <row r="8" spans="2:4" x14ac:dyDescent="0.35">
      <c r="B8" s="4" t="s">
        <v>6</v>
      </c>
      <c r="C8" s="6" t="s">
        <v>7</v>
      </c>
    </row>
    <row r="9" spans="2:4" x14ac:dyDescent="0.35">
      <c r="B9" s="7" t="s">
        <v>8</v>
      </c>
      <c r="C9" s="6" t="s">
        <v>9</v>
      </c>
    </row>
    <row r="10" spans="2:4" x14ac:dyDescent="0.35">
      <c r="B10" s="4" t="s">
        <v>10</v>
      </c>
      <c r="C10" s="6" t="s">
        <v>11</v>
      </c>
    </row>
    <row r="11" spans="2:4" x14ac:dyDescent="0.35">
      <c r="B11" s="4" t="s">
        <v>12</v>
      </c>
      <c r="C11" s="6" t="s">
        <v>13</v>
      </c>
    </row>
    <row r="13" spans="2:4" x14ac:dyDescent="0.35">
      <c r="B13" s="4" t="s">
        <v>14</v>
      </c>
    </row>
    <row r="14" spans="2:4" x14ac:dyDescent="0.35">
      <c r="B14" s="8" t="s">
        <v>15</v>
      </c>
      <c r="C14" s="9"/>
      <c r="D14" s="9"/>
    </row>
    <row r="15" spans="2:4" x14ac:dyDescent="0.35">
      <c r="B15" s="4" t="s">
        <v>16</v>
      </c>
      <c r="C15" s="6" t="s">
        <v>17</v>
      </c>
      <c r="D15" s="10" t="str">
        <f>HYPERLINK("#'Product Strategy'!A1","Open")</f>
        <v>Open</v>
      </c>
    </row>
    <row r="16" spans="2:4" x14ac:dyDescent="0.35">
      <c r="B16" s="4" t="s">
        <v>18</v>
      </c>
      <c r="C16" s="6" t="s">
        <v>19</v>
      </c>
      <c r="D16" s="10" t="str">
        <f>HYPERLINK("#'Product Vision'!A1","Open")</f>
        <v>Open</v>
      </c>
    </row>
    <row r="17" spans="2:4" x14ac:dyDescent="0.35">
      <c r="B17" s="4" t="s">
        <v>20</v>
      </c>
      <c r="C17" s="6" t="s">
        <v>21</v>
      </c>
      <c r="D17" s="10" t="str">
        <f>HYPERLINK("#'Product Requirements'!A1","Open")</f>
        <v>Open</v>
      </c>
    </row>
    <row r="18" spans="2:4" x14ac:dyDescent="0.35">
      <c r="B18" s="4" t="s">
        <v>22</v>
      </c>
      <c r="C18" s="6" t="s">
        <v>23</v>
      </c>
      <c r="D18" s="10" t="str">
        <f>HYPERLINK("#'Feature Dependency Matrix'!A1","Open")</f>
        <v>Open</v>
      </c>
    </row>
    <row r="19" spans="2:4" x14ac:dyDescent="0.35">
      <c r="B19" s="4" t="s">
        <v>24</v>
      </c>
      <c r="C19" s="6" t="s">
        <v>25</v>
      </c>
      <c r="D19" s="10" t="str">
        <f>HYPERLINK("#'Development Roadmap'!A1","Open")</f>
        <v>Open</v>
      </c>
    </row>
    <row r="20" spans="2:4" x14ac:dyDescent="0.35">
      <c r="B20" s="4" t="s">
        <v>26</v>
      </c>
      <c r="C20" s="6" t="s">
        <v>27</v>
      </c>
      <c r="D20" s="10" t="str">
        <f>HYPERLINK("#'Roadmap (5-Year)'!A1","Open")</f>
        <v>Open</v>
      </c>
    </row>
    <row r="21" spans="2:4" x14ac:dyDescent="0.35">
      <c r="B21" s="4" t="s">
        <v>28</v>
      </c>
      <c r="C21" s="6" t="s">
        <v>29</v>
      </c>
      <c r="D21" s="10" t="str">
        <f>HYPERLINK("#'Sprint Planner'!A1","Open")</f>
        <v>Open</v>
      </c>
    </row>
    <row r="22" spans="2:4" x14ac:dyDescent="0.35">
      <c r="B22" s="4" t="s">
        <v>30</v>
      </c>
      <c r="C22" s="6" t="s">
        <v>31</v>
      </c>
      <c r="D22" s="10" t="str">
        <f>HYPERLINK("#'Feature Tracker'!A1","Open")</f>
        <v>Open</v>
      </c>
    </row>
    <row r="23" spans="2:4" x14ac:dyDescent="0.35">
      <c r="B23" s="4" t="s">
        <v>32</v>
      </c>
      <c r="C23" s="6" t="s">
        <v>33</v>
      </c>
      <c r="D23" s="10" t="str">
        <f>HYPERLINK("#'Task Tracker'!A1","Open")</f>
        <v>Open</v>
      </c>
    </row>
    <row r="24" spans="2:4" x14ac:dyDescent="0.35">
      <c r="B24" s="4" t="s">
        <v>34</v>
      </c>
      <c r="C24" s="6" t="s">
        <v>35</v>
      </c>
      <c r="D24" s="10" t="str">
        <f>HYPERLINK("#'Module Tracker'!A1","Open")</f>
        <v>Open</v>
      </c>
    </row>
    <row r="26" spans="2:4" x14ac:dyDescent="0.35">
      <c r="B26" s="8" t="s">
        <v>36</v>
      </c>
      <c r="C26" s="9"/>
      <c r="D26" s="9"/>
    </row>
    <row r="27" spans="2:4" x14ac:dyDescent="0.35">
      <c r="B27" s="4" t="s">
        <v>37</v>
      </c>
      <c r="C27" s="6" t="s">
        <v>38</v>
      </c>
      <c r="D27" s="10" t="str">
        <f>HYPERLINK("#'Architecture Overview'!A1","Open")</f>
        <v>Open</v>
      </c>
    </row>
    <row r="28" spans="2:4" x14ac:dyDescent="0.35">
      <c r="B28" s="4" t="s">
        <v>39</v>
      </c>
      <c r="C28" s="6" t="s">
        <v>40</v>
      </c>
      <c r="D28" s="10" t="str">
        <f>HYPERLINK("#'Module Architecture'!A1","Open")</f>
        <v>Open</v>
      </c>
    </row>
    <row r="29" spans="2:4" x14ac:dyDescent="0.35">
      <c r="B29" s="4" t="s">
        <v>41</v>
      </c>
      <c r="C29" s="6" t="s">
        <v>42</v>
      </c>
      <c r="D29" s="10" t="str">
        <f>HYPERLINK("#'System Diagrams'!A1","Open")</f>
        <v>Open</v>
      </c>
    </row>
    <row r="30" spans="2:4" x14ac:dyDescent="0.35">
      <c r="B30" s="4" t="s">
        <v>43</v>
      </c>
      <c r="C30" s="6" t="s">
        <v>44</v>
      </c>
      <c r="D30" s="10" t="str">
        <f>HYPERLINK("#'Market Data Architecture'!A1","Open")</f>
        <v>Open</v>
      </c>
    </row>
    <row r="31" spans="2:4" x14ac:dyDescent="0.35">
      <c r="B31" s="4" t="s">
        <v>45</v>
      </c>
      <c r="C31" s="6" t="s">
        <v>46</v>
      </c>
      <c r="D31" s="10" t="str">
        <f>HYPERLINK("#'Domain Model'!A1","Open")</f>
        <v>Open</v>
      </c>
    </row>
    <row r="32" spans="2:4" x14ac:dyDescent="0.35">
      <c r="B32" s="4" t="s">
        <v>47</v>
      </c>
      <c r="C32" s="6" t="s">
        <v>48</v>
      </c>
      <c r="D32" s="10" t="str">
        <f>HYPERLINK("#'Event Catalog'!A1","Open")</f>
        <v>Open</v>
      </c>
    </row>
    <row r="33" spans="2:4" x14ac:dyDescent="0.35">
      <c r="B33" s="4" t="s">
        <v>49</v>
      </c>
      <c r="C33" s="6" t="s">
        <v>50</v>
      </c>
      <c r="D33" s="10" t="str">
        <f>HYPERLINK("#'State Machines'!A1","Open")</f>
        <v>Open</v>
      </c>
    </row>
    <row r="34" spans="2:4" x14ac:dyDescent="0.35">
      <c r="B34" s="4" t="s">
        <v>51</v>
      </c>
      <c r="C34" s="6" t="s">
        <v>52</v>
      </c>
      <c r="D34" s="10" t="str">
        <f>HYPERLINK("#'Plugin System'!A1","Open")</f>
        <v>Open</v>
      </c>
    </row>
    <row r="35" spans="2:4" x14ac:dyDescent="0.35">
      <c r="B35" s="4" t="s">
        <v>53</v>
      </c>
      <c r="C35" s="6" t="s">
        <v>54</v>
      </c>
      <c r="D35" s="10" t="str">
        <f>HYPERLINK("#'ADR Log'!A1","Open")</f>
        <v>Open</v>
      </c>
    </row>
    <row r="37" spans="2:4" x14ac:dyDescent="0.35">
      <c r="B37" s="8" t="s">
        <v>55</v>
      </c>
      <c r="C37" s="9"/>
      <c r="D37" s="9"/>
    </row>
    <row r="38" spans="2:4" x14ac:dyDescent="0.35">
      <c r="B38" s="4" t="s">
        <v>56</v>
      </c>
      <c r="C38" s="6" t="s">
        <v>57</v>
      </c>
      <c r="D38" s="10" t="str">
        <f>HYPERLINK("#'UI Screens'!A1","Open")</f>
        <v>Open</v>
      </c>
    </row>
    <row r="39" spans="2:4" x14ac:dyDescent="0.35">
      <c r="B39" s="4" t="s">
        <v>58</v>
      </c>
      <c r="C39" s="6" t="s">
        <v>59</v>
      </c>
      <c r="D39" s="10" t="str">
        <f>HYPERLINK("#'UI Components'!A1","Open")</f>
        <v>Open</v>
      </c>
    </row>
    <row r="40" spans="2:4" x14ac:dyDescent="0.35">
      <c r="B40" s="4" t="s">
        <v>60</v>
      </c>
      <c r="C40" s="6" t="s">
        <v>61</v>
      </c>
      <c r="D40" s="10" t="str">
        <f>HYPERLINK("#'Workspace Layouts'!A1","Open")</f>
        <v>Open</v>
      </c>
    </row>
    <row r="41" spans="2:4" x14ac:dyDescent="0.35">
      <c r="B41" s="4" t="s">
        <v>62</v>
      </c>
      <c r="C41" s="6" t="s">
        <v>63</v>
      </c>
      <c r="D41" s="10" t="str">
        <f>HYPERLINK("#'Navigation Flow'!A1","Open")</f>
        <v>Open</v>
      </c>
    </row>
    <row r="42" spans="2:4" x14ac:dyDescent="0.35">
      <c r="B42" s="4" t="s">
        <v>64</v>
      </c>
      <c r="C42" s="6" t="s">
        <v>65</v>
      </c>
      <c r="D42" s="10" t="str">
        <f>HYPERLINK("#'User Journey'!A1","Open")</f>
        <v>Open</v>
      </c>
    </row>
    <row r="43" spans="2:4" x14ac:dyDescent="0.35">
      <c r="B43" s="4" t="s">
        <v>66</v>
      </c>
      <c r="C43" s="6" t="s">
        <v>67</v>
      </c>
      <c r="D43" s="10" t="str">
        <f>HYPERLINK("#'UX Standards'!A1","Open")</f>
        <v>Open</v>
      </c>
    </row>
    <row r="45" spans="2:4" x14ac:dyDescent="0.35">
      <c r="B45" s="8" t="s">
        <v>68</v>
      </c>
      <c r="C45" s="9"/>
      <c r="D45" s="9"/>
    </row>
    <row r="46" spans="2:4" x14ac:dyDescent="0.35">
      <c r="B46" s="4" t="s">
        <v>69</v>
      </c>
      <c r="C46" s="6" t="s">
        <v>70</v>
      </c>
      <c r="D46" s="10" t="str">
        <f>HYPERLINK("#'Database Schema'!A1","Open")</f>
        <v>Open</v>
      </c>
    </row>
    <row r="47" spans="2:4" x14ac:dyDescent="0.35">
      <c r="B47" s="4" t="s">
        <v>71</v>
      </c>
      <c r="C47" s="6" t="s">
        <v>72</v>
      </c>
      <c r="D47" s="10" t="str">
        <f>HYPERLINK("#'Database Dictionary'!A1","Open")</f>
        <v>Open</v>
      </c>
    </row>
    <row r="48" spans="2:4" x14ac:dyDescent="0.35">
      <c r="B48" s="4" t="s">
        <v>73</v>
      </c>
      <c r="C48" s="6" t="s">
        <v>74</v>
      </c>
      <c r="D48" s="10" t="str">
        <f>HYPERLINK("#'API Registry'!A1","Open")</f>
        <v>Open</v>
      </c>
    </row>
    <row r="49" spans="2:4" x14ac:dyDescent="0.35">
      <c r="B49" s="4" t="s">
        <v>75</v>
      </c>
      <c r="C49" s="6" t="s">
        <v>76</v>
      </c>
      <c r="D49" s="10" t="str">
        <f>HYPERLINK("#'Configuration Matrix'!A1","Open")</f>
        <v>Open</v>
      </c>
    </row>
    <row r="50" spans="2:4" x14ac:dyDescent="0.35">
      <c r="B50" s="4" t="s">
        <v>77</v>
      </c>
      <c r="C50" s="6" t="s">
        <v>78</v>
      </c>
      <c r="D50" s="10" t="str">
        <f>HYPERLINK("#'Data Retention Policy'!A1","Open")</f>
        <v>Open</v>
      </c>
    </row>
    <row r="52" spans="2:4" x14ac:dyDescent="0.35">
      <c r="B52" s="8" t="s">
        <v>79</v>
      </c>
      <c r="C52" s="9"/>
      <c r="D52" s="9"/>
    </row>
    <row r="53" spans="2:4" x14ac:dyDescent="0.35">
      <c r="B53" s="4" t="s">
        <v>80</v>
      </c>
      <c r="C53" s="6" t="s">
        <v>81</v>
      </c>
      <c r="D53" s="10" t="str">
        <f>HYPERLINK("#'Strategy Classification'!A1","Open")</f>
        <v>Open</v>
      </c>
    </row>
    <row r="54" spans="2:4" x14ac:dyDescent="0.35">
      <c r="B54" s="4" t="s">
        <v>82</v>
      </c>
      <c r="C54" s="6" t="s">
        <v>83</v>
      </c>
      <c r="D54" s="10" t="str">
        <f>HYPERLINK("#'Strategy Library'!A1","Open")</f>
        <v>Open</v>
      </c>
    </row>
    <row r="55" spans="2:4" x14ac:dyDescent="0.35">
      <c r="B55" s="4" t="s">
        <v>84</v>
      </c>
      <c r="C55" s="6" t="s">
        <v>85</v>
      </c>
      <c r="D55" s="10" t="str">
        <f>HYPERLINK("#'AI Architecture'!A1","Open")</f>
        <v>Open</v>
      </c>
    </row>
    <row r="56" spans="2:4" x14ac:dyDescent="0.35">
      <c r="B56" s="4" t="s">
        <v>86</v>
      </c>
      <c r="C56" s="6" t="s">
        <v>87</v>
      </c>
      <c r="D56" s="10" t="str">
        <f>HYPERLINK("#'AI Assistant Modules'!A1","Open")</f>
        <v>Open</v>
      </c>
    </row>
    <row r="57" spans="2:4" x14ac:dyDescent="0.35">
      <c r="B57" s="4" t="s">
        <v>88</v>
      </c>
      <c r="C57" s="6" t="s">
        <v>89</v>
      </c>
      <c r="D57" s="10" t="str">
        <f>HYPERLINK("#'Risk Management'!A1","Open")</f>
        <v>Open</v>
      </c>
    </row>
    <row r="58" spans="2:4" x14ac:dyDescent="0.35">
      <c r="B58" s="4" t="s">
        <v>90</v>
      </c>
      <c r="C58" s="6" t="s">
        <v>91</v>
      </c>
      <c r="D58" s="10" t="str">
        <f>HYPERLINK("#'Broker Integration'!A1","Open")</f>
        <v>Open</v>
      </c>
    </row>
    <row r="60" spans="2:4" x14ac:dyDescent="0.35">
      <c r="B60" s="8" t="s">
        <v>92</v>
      </c>
      <c r="C60" s="9"/>
      <c r="D60" s="9"/>
    </row>
    <row r="61" spans="2:4" x14ac:dyDescent="0.35">
      <c r="B61" s="4" t="s">
        <v>93</v>
      </c>
      <c r="C61" s="6" t="s">
        <v>94</v>
      </c>
      <c r="D61" s="10" t="str">
        <f>HYPERLINK("#'Security Checklist'!A1","Open")</f>
        <v>Open</v>
      </c>
    </row>
    <row r="62" spans="2:4" x14ac:dyDescent="0.35">
      <c r="B62" s="4" t="s">
        <v>95</v>
      </c>
      <c r="C62" s="6" t="s">
        <v>96</v>
      </c>
      <c r="D62" s="10" t="str">
        <f>HYPERLINK("#'Permissions Matrix'!A1","Open")</f>
        <v>Open</v>
      </c>
    </row>
    <row r="63" spans="2:4" x14ac:dyDescent="0.35">
      <c r="B63" s="4" t="s">
        <v>97</v>
      </c>
      <c r="C63" s="6" t="s">
        <v>98</v>
      </c>
      <c r="D63" s="10" t="str">
        <f>HYPERLINK("#'Coding Standards'!A1","Open")</f>
        <v>Open</v>
      </c>
    </row>
    <row r="64" spans="2:4" x14ac:dyDescent="0.35">
      <c r="B64" s="4" t="s">
        <v>99</v>
      </c>
      <c r="C64" s="6" t="s">
        <v>100</v>
      </c>
      <c r="D64" s="10" t="str">
        <f>HYPERLINK("#'Testing Matrix'!A1","Open")</f>
        <v>Open</v>
      </c>
    </row>
    <row r="65" spans="2:4" x14ac:dyDescent="0.35">
      <c r="B65" s="4" t="s">
        <v>101</v>
      </c>
      <c r="C65" s="6" t="s">
        <v>102</v>
      </c>
      <c r="D65" s="10" t="str">
        <f>HYPERLINK("#'Test Data Catalog'!A1","Open")</f>
        <v>Open</v>
      </c>
    </row>
    <row r="66" spans="2:4" x14ac:dyDescent="0.35">
      <c r="B66" s="4" t="s">
        <v>103</v>
      </c>
      <c r="C66" s="6" t="s">
        <v>104</v>
      </c>
      <c r="D66" s="10" t="str">
        <f>HYPERLINK("#'Performance Benchmarks'!A1","Open")</f>
        <v>Open</v>
      </c>
    </row>
    <row r="67" spans="2:4" x14ac:dyDescent="0.35">
      <c r="B67" s="4" t="s">
        <v>105</v>
      </c>
      <c r="C67" s="6" t="s">
        <v>106</v>
      </c>
      <c r="D67" s="10" t="str">
        <f>HYPERLINK("#'Error Code Catalog'!A1","Open")</f>
        <v>Open</v>
      </c>
    </row>
    <row r="69" spans="2:4" x14ac:dyDescent="0.35">
      <c r="B69" s="8" t="s">
        <v>107</v>
      </c>
      <c r="C69" s="9"/>
      <c r="D69" s="9"/>
    </row>
    <row r="70" spans="2:4" x14ac:dyDescent="0.35">
      <c r="B70" s="4" t="s">
        <v>108</v>
      </c>
      <c r="C70" s="6" t="s">
        <v>109</v>
      </c>
      <c r="D70" s="10" t="str">
        <f>HYPERLINK("#'Deployment Checklist'!A1","Open")</f>
        <v>Open</v>
      </c>
    </row>
    <row r="71" spans="2:4" x14ac:dyDescent="0.35">
      <c r="B71" s="4" t="s">
        <v>110</v>
      </c>
      <c r="C71" s="6" t="s">
        <v>111</v>
      </c>
      <c r="D71" s="10" t="str">
        <f>HYPERLINK("#'Enterprise Logging'!A1","Open")</f>
        <v>Open</v>
      </c>
    </row>
    <row r="72" spans="2:4" x14ac:dyDescent="0.35">
      <c r="B72" s="4" t="s">
        <v>112</v>
      </c>
      <c r="C72" s="6" t="s">
        <v>113</v>
      </c>
      <c r="D72" s="10" t="str">
        <f>HYPERLINK("#'Observability &amp; SLOs'!A1","Open")</f>
        <v>Open</v>
      </c>
    </row>
    <row r="73" spans="2:4" x14ac:dyDescent="0.35">
      <c r="B73" s="4" t="s">
        <v>114</v>
      </c>
      <c r="C73" s="6" t="s">
        <v>115</v>
      </c>
      <c r="D73" s="10" t="str">
        <f>HYPERLINK("#'Disaster Recovery'!A1","Open")</f>
        <v>Open</v>
      </c>
    </row>
    <row r="74" spans="2:4" x14ac:dyDescent="0.35">
      <c r="B74" s="4" t="s">
        <v>116</v>
      </c>
      <c r="C74" s="6" t="s">
        <v>117</v>
      </c>
      <c r="D74" s="10" t="str">
        <f>HYPERLINK("#'Release Management'!A1","Open")</f>
        <v>Open</v>
      </c>
    </row>
    <row r="75" spans="2:4" x14ac:dyDescent="0.35">
      <c r="B75" s="4" t="s">
        <v>118</v>
      </c>
      <c r="C75" s="6" t="s">
        <v>119</v>
      </c>
      <c r="D75" s="10" t="str">
        <f>HYPERLINK("#'Release Planner'!A1","Open")</f>
        <v>Open</v>
      </c>
    </row>
    <row r="76" spans="2:4" x14ac:dyDescent="0.35">
      <c r="B76" s="4" t="s">
        <v>120</v>
      </c>
      <c r="C76" s="6" t="s">
        <v>121</v>
      </c>
      <c r="D76" s="10" t="str">
        <f>HYPERLINK("#'Bug Tracker'!A1","Open")</f>
        <v>Open</v>
      </c>
    </row>
    <row r="77" spans="2:4" x14ac:dyDescent="0.35">
      <c r="B77" s="4" t="s">
        <v>122</v>
      </c>
      <c r="C77" s="6" t="s">
        <v>123</v>
      </c>
      <c r="D77" s="10" t="str">
        <f>HYPERLINK("#'Change Log'!A1","Open")</f>
        <v>Open</v>
      </c>
    </row>
    <row r="78" spans="2:4" x14ac:dyDescent="0.35">
      <c r="B78" s="4" t="s">
        <v>124</v>
      </c>
      <c r="C78" s="6" t="s">
        <v>125</v>
      </c>
      <c r="D78" s="10" t="str">
        <f>HYPERLINK("#'Documentation Tracker'!A1","Open")</f>
        <v>Open</v>
      </c>
    </row>
    <row r="79" spans="2:4" x14ac:dyDescent="0.35">
      <c r="B79" s="4" t="s">
        <v>126</v>
      </c>
      <c r="C79" s="6" t="s">
        <v>127</v>
      </c>
      <c r="D79" s="10" t="str">
        <f>HYPERLINK("#'Future Enhancements'!A1","Open")</f>
        <v>Open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B1FA2"/>
  </sheetPr>
  <dimension ref="A1:C26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4" customWidth="1"/>
    <col min="2" max="2" width="32" customWidth="1"/>
    <col min="3" max="3" width="110" customWidth="1"/>
  </cols>
  <sheetData>
    <row r="1" spans="1:3" ht="27.75" customHeight="1" x14ac:dyDescent="0.35">
      <c r="A1" s="11" t="s">
        <v>128</v>
      </c>
      <c r="B1" s="11" t="s">
        <v>129</v>
      </c>
      <c r="C1" s="11" t="s">
        <v>130</v>
      </c>
    </row>
    <row r="2" spans="1:3" ht="25" x14ac:dyDescent="0.35">
      <c r="A2" s="12" t="s">
        <v>131</v>
      </c>
      <c r="B2" s="12" t="s">
        <v>132</v>
      </c>
      <c r="C2" s="12" t="s">
        <v>133</v>
      </c>
    </row>
    <row r="3" spans="1:3" ht="25" x14ac:dyDescent="0.35">
      <c r="A3" s="12" t="s">
        <v>134</v>
      </c>
      <c r="B3" s="12" t="s">
        <v>135</v>
      </c>
      <c r="C3" s="12" t="s">
        <v>136</v>
      </c>
    </row>
    <row r="4" spans="1:3" x14ac:dyDescent="0.35">
      <c r="A4" s="12" t="s">
        <v>137</v>
      </c>
      <c r="B4" s="12" t="s">
        <v>138</v>
      </c>
      <c r="C4" s="12" t="s">
        <v>139</v>
      </c>
    </row>
    <row r="5" spans="1:3" x14ac:dyDescent="0.35">
      <c r="A5" s="12" t="s">
        <v>137</v>
      </c>
      <c r="B5" s="12" t="s">
        <v>140</v>
      </c>
      <c r="C5" s="12" t="s">
        <v>141</v>
      </c>
    </row>
    <row r="6" spans="1:3" x14ac:dyDescent="0.35">
      <c r="A6" s="12" t="s">
        <v>142</v>
      </c>
      <c r="B6" s="12" t="s">
        <v>143</v>
      </c>
      <c r="C6" s="12" t="s">
        <v>144</v>
      </c>
    </row>
    <row r="7" spans="1:3" x14ac:dyDescent="0.35">
      <c r="A7" s="12" t="s">
        <v>142</v>
      </c>
      <c r="B7" s="12" t="s">
        <v>145</v>
      </c>
      <c r="C7" s="12" t="s">
        <v>146</v>
      </c>
    </row>
    <row r="8" spans="1:3" x14ac:dyDescent="0.35">
      <c r="A8" s="12" t="s">
        <v>142</v>
      </c>
      <c r="B8" s="12" t="s">
        <v>147</v>
      </c>
      <c r="C8" s="12" t="s">
        <v>148</v>
      </c>
    </row>
    <row r="9" spans="1:3" ht="25" x14ac:dyDescent="0.35">
      <c r="A9" s="12" t="s">
        <v>149</v>
      </c>
      <c r="B9" s="12" t="s">
        <v>150</v>
      </c>
      <c r="C9" s="12" t="s">
        <v>151</v>
      </c>
    </row>
    <row r="10" spans="1:3" ht="25" x14ac:dyDescent="0.35">
      <c r="A10" s="12" t="s">
        <v>149</v>
      </c>
      <c r="B10" s="12" t="s">
        <v>152</v>
      </c>
      <c r="C10" s="12" t="s">
        <v>153</v>
      </c>
    </row>
    <row r="11" spans="1:3" ht="25" x14ac:dyDescent="0.35">
      <c r="A11" s="12" t="s">
        <v>149</v>
      </c>
      <c r="B11" s="12" t="s">
        <v>154</v>
      </c>
      <c r="C11" s="12" t="s">
        <v>155</v>
      </c>
    </row>
    <row r="12" spans="1:3" x14ac:dyDescent="0.35">
      <c r="A12" s="12" t="s">
        <v>149</v>
      </c>
      <c r="B12" s="12" t="s">
        <v>156</v>
      </c>
      <c r="C12" s="12" t="s">
        <v>157</v>
      </c>
    </row>
    <row r="13" spans="1:3" ht="25" x14ac:dyDescent="0.35">
      <c r="A13" s="12" t="s">
        <v>149</v>
      </c>
      <c r="B13" s="12" t="s">
        <v>158</v>
      </c>
      <c r="C13" s="12" t="s">
        <v>159</v>
      </c>
    </row>
    <row r="14" spans="1:3" x14ac:dyDescent="0.35">
      <c r="A14" s="12" t="s">
        <v>160</v>
      </c>
      <c r="B14" s="12" t="s">
        <v>161</v>
      </c>
      <c r="C14" s="12" t="s">
        <v>162</v>
      </c>
    </row>
    <row r="15" spans="1:3" x14ac:dyDescent="0.35">
      <c r="A15" s="12" t="s">
        <v>160</v>
      </c>
      <c r="B15" s="12" t="s">
        <v>163</v>
      </c>
      <c r="C15" s="12" t="s">
        <v>164</v>
      </c>
    </row>
    <row r="16" spans="1:3" x14ac:dyDescent="0.35">
      <c r="A16" s="12" t="s">
        <v>160</v>
      </c>
      <c r="B16" s="12" t="s">
        <v>165</v>
      </c>
      <c r="C16" s="12" t="s">
        <v>166</v>
      </c>
    </row>
    <row r="17" spans="1:3" x14ac:dyDescent="0.35">
      <c r="A17" s="12" t="s">
        <v>160</v>
      </c>
      <c r="B17" s="12" t="s">
        <v>167</v>
      </c>
      <c r="C17" s="12" t="s">
        <v>168</v>
      </c>
    </row>
    <row r="18" spans="1:3" x14ac:dyDescent="0.35">
      <c r="A18" s="12" t="s">
        <v>169</v>
      </c>
      <c r="B18" s="12" t="s">
        <v>170</v>
      </c>
      <c r="C18" s="12" t="s">
        <v>171</v>
      </c>
    </row>
    <row r="19" spans="1:3" x14ac:dyDescent="0.35">
      <c r="A19" s="12" t="s">
        <v>169</v>
      </c>
      <c r="B19" s="12" t="s">
        <v>172</v>
      </c>
      <c r="C19" s="12" t="s">
        <v>173</v>
      </c>
    </row>
    <row r="20" spans="1:3" ht="25" x14ac:dyDescent="0.35">
      <c r="A20" s="12" t="s">
        <v>169</v>
      </c>
      <c r="B20" s="12" t="s">
        <v>174</v>
      </c>
      <c r="C20" s="12" t="s">
        <v>175</v>
      </c>
    </row>
    <row r="21" spans="1:3" x14ac:dyDescent="0.35">
      <c r="A21" s="12" t="s">
        <v>176</v>
      </c>
      <c r="B21" s="12" t="s">
        <v>177</v>
      </c>
      <c r="C21" s="12" t="s">
        <v>178</v>
      </c>
    </row>
    <row r="22" spans="1:3" x14ac:dyDescent="0.35">
      <c r="A22" s="12" t="s">
        <v>176</v>
      </c>
      <c r="B22" s="12" t="s">
        <v>179</v>
      </c>
      <c r="C22" s="12" t="s">
        <v>180</v>
      </c>
    </row>
    <row r="23" spans="1:3" x14ac:dyDescent="0.35">
      <c r="A23" s="12" t="s">
        <v>181</v>
      </c>
      <c r="B23" s="12" t="s">
        <v>182</v>
      </c>
      <c r="C23" s="12" t="s">
        <v>183</v>
      </c>
    </row>
    <row r="24" spans="1:3" x14ac:dyDescent="0.35">
      <c r="A24" s="12" t="s">
        <v>181</v>
      </c>
      <c r="B24" s="12" t="s">
        <v>184</v>
      </c>
      <c r="C24" s="12" t="s">
        <v>185</v>
      </c>
    </row>
    <row r="25" spans="1:3" x14ac:dyDescent="0.35">
      <c r="A25" s="12" t="s">
        <v>181</v>
      </c>
      <c r="B25" s="12" t="s">
        <v>186</v>
      </c>
      <c r="C25" s="12" t="s">
        <v>187</v>
      </c>
    </row>
    <row r="26" spans="1:3" x14ac:dyDescent="0.35">
      <c r="A26" s="12" t="s">
        <v>188</v>
      </c>
      <c r="B26" s="12" t="s">
        <v>189</v>
      </c>
      <c r="C26" s="12" t="s">
        <v>190</v>
      </c>
    </row>
  </sheetData>
  <autoFilter ref="A1:C26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9"/>
  </sheetPr>
  <dimension ref="A1:C26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6" customWidth="1"/>
    <col min="2" max="2" width="38" customWidth="1"/>
    <col min="3" max="3" width="110" customWidth="1"/>
  </cols>
  <sheetData>
    <row r="1" spans="1:3" ht="27.75" customHeight="1" x14ac:dyDescent="0.35">
      <c r="A1" s="11" t="s">
        <v>138</v>
      </c>
      <c r="B1" s="11" t="s">
        <v>129</v>
      </c>
      <c r="C1" s="11" t="s">
        <v>130</v>
      </c>
    </row>
    <row r="2" spans="1:3" x14ac:dyDescent="0.35">
      <c r="A2" s="12" t="s">
        <v>191</v>
      </c>
      <c r="B2" s="12" t="s">
        <v>192</v>
      </c>
      <c r="C2" s="12" t="s">
        <v>193</v>
      </c>
    </row>
    <row r="3" spans="1:3" x14ac:dyDescent="0.35">
      <c r="A3" s="12" t="s">
        <v>191</v>
      </c>
      <c r="B3" s="12" t="s">
        <v>194</v>
      </c>
      <c r="C3" s="12" t="s">
        <v>195</v>
      </c>
    </row>
    <row r="4" spans="1:3" x14ac:dyDescent="0.35">
      <c r="A4" s="12" t="s">
        <v>191</v>
      </c>
      <c r="B4" s="12" t="s">
        <v>196</v>
      </c>
      <c r="C4" s="12" t="s">
        <v>197</v>
      </c>
    </row>
    <row r="5" spans="1:3" x14ac:dyDescent="0.35">
      <c r="A5" s="12" t="s">
        <v>198</v>
      </c>
      <c r="B5" s="12" t="s">
        <v>199</v>
      </c>
      <c r="C5" s="12" t="s">
        <v>200</v>
      </c>
    </row>
    <row r="6" spans="1:3" x14ac:dyDescent="0.35">
      <c r="A6" s="12" t="s">
        <v>198</v>
      </c>
      <c r="B6" s="12" t="s">
        <v>201</v>
      </c>
      <c r="C6" s="12" t="s">
        <v>202</v>
      </c>
    </row>
    <row r="7" spans="1:3" x14ac:dyDescent="0.35">
      <c r="A7" s="12" t="s">
        <v>198</v>
      </c>
      <c r="B7" s="12" t="s">
        <v>203</v>
      </c>
      <c r="C7" s="12" t="s">
        <v>204</v>
      </c>
    </row>
    <row r="8" spans="1:3" x14ac:dyDescent="0.35">
      <c r="A8" s="12" t="s">
        <v>198</v>
      </c>
      <c r="B8" s="12" t="s">
        <v>205</v>
      </c>
      <c r="C8" s="12" t="s">
        <v>206</v>
      </c>
    </row>
    <row r="9" spans="1:3" x14ac:dyDescent="0.35">
      <c r="A9" s="12" t="s">
        <v>198</v>
      </c>
      <c r="B9" s="12" t="s">
        <v>207</v>
      </c>
      <c r="C9" s="12" t="s">
        <v>208</v>
      </c>
    </row>
    <row r="10" spans="1:3" x14ac:dyDescent="0.35">
      <c r="A10" s="12" t="s">
        <v>209</v>
      </c>
      <c r="B10" s="12" t="s">
        <v>170</v>
      </c>
      <c r="C10" s="12" t="s">
        <v>210</v>
      </c>
    </row>
    <row r="11" spans="1:3" x14ac:dyDescent="0.35">
      <c r="A11" s="12" t="s">
        <v>209</v>
      </c>
      <c r="B11" s="12" t="s">
        <v>172</v>
      </c>
      <c r="C11" s="12" t="s">
        <v>211</v>
      </c>
    </row>
    <row r="12" spans="1:3" x14ac:dyDescent="0.35">
      <c r="A12" s="12" t="s">
        <v>209</v>
      </c>
      <c r="B12" s="12" t="s">
        <v>212</v>
      </c>
      <c r="C12" s="12" t="s">
        <v>213</v>
      </c>
    </row>
    <row r="13" spans="1:3" x14ac:dyDescent="0.35">
      <c r="A13" s="12" t="s">
        <v>214</v>
      </c>
      <c r="B13" s="12" t="s">
        <v>215</v>
      </c>
      <c r="C13" s="12" t="s">
        <v>216</v>
      </c>
    </row>
    <row r="14" spans="1:3" x14ac:dyDescent="0.35">
      <c r="A14" s="12" t="s">
        <v>214</v>
      </c>
      <c r="B14" s="12" t="s">
        <v>217</v>
      </c>
      <c r="C14" s="12" t="s">
        <v>218</v>
      </c>
    </row>
    <row r="15" spans="1:3" x14ac:dyDescent="0.35">
      <c r="A15" s="12" t="s">
        <v>214</v>
      </c>
      <c r="B15" s="12" t="s">
        <v>219</v>
      </c>
      <c r="C15" s="12" t="s">
        <v>220</v>
      </c>
    </row>
    <row r="16" spans="1:3" x14ac:dyDescent="0.35">
      <c r="A16" s="12" t="s">
        <v>214</v>
      </c>
      <c r="B16" s="12" t="s">
        <v>221</v>
      </c>
      <c r="C16" s="12" t="s">
        <v>222</v>
      </c>
    </row>
    <row r="17" spans="1:3" x14ac:dyDescent="0.35">
      <c r="A17" s="12" t="s">
        <v>223</v>
      </c>
      <c r="B17" s="12" t="s">
        <v>224</v>
      </c>
      <c r="C17" s="12" t="s">
        <v>225</v>
      </c>
    </row>
    <row r="18" spans="1:3" x14ac:dyDescent="0.35">
      <c r="A18" s="12" t="s">
        <v>223</v>
      </c>
      <c r="B18" s="12" t="s">
        <v>226</v>
      </c>
      <c r="C18" s="12" t="s">
        <v>227</v>
      </c>
    </row>
    <row r="19" spans="1:3" x14ac:dyDescent="0.35">
      <c r="A19" s="12" t="s">
        <v>223</v>
      </c>
      <c r="B19" s="12" t="s">
        <v>228</v>
      </c>
      <c r="C19" s="12" t="s">
        <v>229</v>
      </c>
    </row>
    <row r="20" spans="1:3" x14ac:dyDescent="0.35">
      <c r="A20" s="12" t="s">
        <v>223</v>
      </c>
      <c r="B20" s="12" t="s">
        <v>230</v>
      </c>
      <c r="C20" s="12" t="s">
        <v>231</v>
      </c>
    </row>
    <row r="21" spans="1:3" ht="25" x14ac:dyDescent="0.35">
      <c r="A21" s="12" t="s">
        <v>232</v>
      </c>
      <c r="B21" s="12" t="s">
        <v>233</v>
      </c>
      <c r="C21" s="12" t="s">
        <v>234</v>
      </c>
    </row>
    <row r="22" spans="1:3" ht="25" x14ac:dyDescent="0.35">
      <c r="A22" s="12" t="s">
        <v>235</v>
      </c>
      <c r="B22" s="12" t="s">
        <v>236</v>
      </c>
      <c r="C22" s="12" t="s">
        <v>237</v>
      </c>
    </row>
    <row r="23" spans="1:3" x14ac:dyDescent="0.35">
      <c r="A23" s="12" t="s">
        <v>238</v>
      </c>
      <c r="B23" s="12" t="s">
        <v>239</v>
      </c>
      <c r="C23" s="12" t="s">
        <v>240</v>
      </c>
    </row>
    <row r="24" spans="1:3" x14ac:dyDescent="0.35">
      <c r="A24" s="12" t="s">
        <v>238</v>
      </c>
      <c r="B24" s="12" t="s">
        <v>241</v>
      </c>
      <c r="C24" s="12" t="s">
        <v>242</v>
      </c>
    </row>
    <row r="25" spans="1:3" x14ac:dyDescent="0.35">
      <c r="A25" s="12" t="s">
        <v>238</v>
      </c>
      <c r="B25" s="12" t="s">
        <v>243</v>
      </c>
      <c r="C25" s="12" t="s">
        <v>244</v>
      </c>
    </row>
    <row r="26" spans="1:3" x14ac:dyDescent="0.35">
      <c r="A26" s="12" t="s">
        <v>238</v>
      </c>
      <c r="B26" s="12" t="s">
        <v>245</v>
      </c>
      <c r="C26" s="12" t="s">
        <v>246</v>
      </c>
    </row>
  </sheetData>
  <autoFilter ref="A1:C26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9"/>
  </sheetPr>
  <dimension ref="A1:H3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16" customWidth="1"/>
    <col min="3" max="3" width="20" customWidth="1"/>
    <col min="4" max="4" width="62" customWidth="1"/>
    <col min="5" max="5" width="16" customWidth="1"/>
    <col min="6" max="6" width="62" customWidth="1"/>
    <col min="7" max="7" width="9" customWidth="1"/>
    <col min="8" max="8" width="14" customWidth="1"/>
  </cols>
  <sheetData>
    <row r="1" spans="1:8" ht="27.75" customHeight="1" x14ac:dyDescent="0.35">
      <c r="A1" s="11" t="s">
        <v>247</v>
      </c>
      <c r="B1" s="11" t="s">
        <v>248</v>
      </c>
      <c r="C1" s="11" t="s">
        <v>249</v>
      </c>
      <c r="D1" s="11" t="s">
        <v>250</v>
      </c>
      <c r="E1" s="11" t="s">
        <v>251</v>
      </c>
      <c r="F1" s="11" t="s">
        <v>252</v>
      </c>
      <c r="G1" s="11" t="s">
        <v>253</v>
      </c>
      <c r="H1" s="11" t="s">
        <v>254</v>
      </c>
    </row>
    <row r="2" spans="1:8" ht="25" x14ac:dyDescent="0.35">
      <c r="A2" s="12" t="s">
        <v>255</v>
      </c>
      <c r="B2" s="12" t="s">
        <v>256</v>
      </c>
      <c r="C2" s="12" t="s">
        <v>257</v>
      </c>
      <c r="D2" s="12" t="s">
        <v>258</v>
      </c>
      <c r="E2" s="12" t="s">
        <v>259</v>
      </c>
      <c r="F2" s="12" t="s">
        <v>260</v>
      </c>
      <c r="G2" s="12" t="s">
        <v>261</v>
      </c>
      <c r="H2" s="12" t="s">
        <v>262</v>
      </c>
    </row>
    <row r="3" spans="1:8" ht="25" x14ac:dyDescent="0.35">
      <c r="A3" s="12" t="s">
        <v>263</v>
      </c>
      <c r="B3" s="12" t="s">
        <v>256</v>
      </c>
      <c r="C3" s="12" t="s">
        <v>264</v>
      </c>
      <c r="D3" s="12" t="s">
        <v>265</v>
      </c>
      <c r="E3" s="12" t="s">
        <v>259</v>
      </c>
      <c r="F3" s="12" t="s">
        <v>266</v>
      </c>
      <c r="G3" s="12" t="s">
        <v>267</v>
      </c>
      <c r="H3" s="12" t="s">
        <v>262</v>
      </c>
    </row>
    <row r="4" spans="1:8" ht="25" x14ac:dyDescent="0.35">
      <c r="A4" s="12" t="s">
        <v>268</v>
      </c>
      <c r="B4" s="12" t="s">
        <v>256</v>
      </c>
      <c r="C4" s="12" t="s">
        <v>269</v>
      </c>
      <c r="D4" s="12" t="s">
        <v>270</v>
      </c>
      <c r="E4" s="12" t="s">
        <v>259</v>
      </c>
      <c r="F4" s="12" t="s">
        <v>271</v>
      </c>
      <c r="G4" s="12" t="s">
        <v>261</v>
      </c>
      <c r="H4" s="12" t="s">
        <v>262</v>
      </c>
    </row>
    <row r="5" spans="1:8" ht="25" x14ac:dyDescent="0.35">
      <c r="A5" s="12" t="s">
        <v>272</v>
      </c>
      <c r="B5" s="12" t="s">
        <v>256</v>
      </c>
      <c r="C5" s="12" t="s">
        <v>273</v>
      </c>
      <c r="D5" s="12" t="s">
        <v>274</v>
      </c>
      <c r="E5" s="12" t="s">
        <v>259</v>
      </c>
      <c r="F5" s="12" t="s">
        <v>275</v>
      </c>
      <c r="G5" s="12" t="s">
        <v>261</v>
      </c>
      <c r="H5" s="12" t="s">
        <v>262</v>
      </c>
    </row>
    <row r="6" spans="1:8" ht="25" x14ac:dyDescent="0.35">
      <c r="A6" s="12" t="s">
        <v>276</v>
      </c>
      <c r="B6" s="12" t="s">
        <v>256</v>
      </c>
      <c r="C6" s="12" t="s">
        <v>277</v>
      </c>
      <c r="D6" s="12" t="s">
        <v>278</v>
      </c>
      <c r="E6" s="12" t="s">
        <v>259</v>
      </c>
      <c r="F6" s="12" t="s">
        <v>279</v>
      </c>
      <c r="G6" s="12" t="s">
        <v>267</v>
      </c>
      <c r="H6" s="12" t="s">
        <v>262</v>
      </c>
    </row>
    <row r="7" spans="1:8" ht="25" x14ac:dyDescent="0.35">
      <c r="A7" s="12" t="s">
        <v>280</v>
      </c>
      <c r="B7" s="12" t="s">
        <v>256</v>
      </c>
      <c r="C7" s="12" t="s">
        <v>277</v>
      </c>
      <c r="D7" s="12" t="s">
        <v>281</v>
      </c>
      <c r="E7" s="12" t="s">
        <v>282</v>
      </c>
      <c r="F7" s="12" t="s">
        <v>283</v>
      </c>
      <c r="G7" s="12" t="s">
        <v>284</v>
      </c>
      <c r="H7" s="12" t="s">
        <v>262</v>
      </c>
    </row>
    <row r="8" spans="1:8" ht="25" x14ac:dyDescent="0.35">
      <c r="A8" s="12" t="s">
        <v>285</v>
      </c>
      <c r="B8" s="12" t="s">
        <v>256</v>
      </c>
      <c r="C8" s="12" t="s">
        <v>286</v>
      </c>
      <c r="D8" s="12" t="s">
        <v>287</v>
      </c>
      <c r="E8" s="12" t="s">
        <v>259</v>
      </c>
      <c r="F8" s="12" t="s">
        <v>288</v>
      </c>
      <c r="G8" s="12" t="s">
        <v>267</v>
      </c>
      <c r="H8" s="12" t="s">
        <v>262</v>
      </c>
    </row>
    <row r="9" spans="1:8" x14ac:dyDescent="0.35">
      <c r="A9" s="12" t="s">
        <v>289</v>
      </c>
      <c r="B9" s="12" t="s">
        <v>256</v>
      </c>
      <c r="C9" s="12" t="s">
        <v>290</v>
      </c>
      <c r="D9" s="12" t="s">
        <v>291</v>
      </c>
      <c r="E9" s="12" t="s">
        <v>259</v>
      </c>
      <c r="F9" s="12" t="s">
        <v>292</v>
      </c>
      <c r="G9" s="12" t="s">
        <v>284</v>
      </c>
      <c r="H9" s="12" t="s">
        <v>262</v>
      </c>
    </row>
    <row r="10" spans="1:8" ht="25" x14ac:dyDescent="0.35">
      <c r="A10" s="12" t="s">
        <v>293</v>
      </c>
      <c r="B10" s="12" t="s">
        <v>256</v>
      </c>
      <c r="C10" s="12" t="s">
        <v>294</v>
      </c>
      <c r="D10" s="12" t="s">
        <v>295</v>
      </c>
      <c r="E10" s="12" t="s">
        <v>259</v>
      </c>
      <c r="F10" s="12" t="s">
        <v>296</v>
      </c>
      <c r="G10" s="12" t="s">
        <v>267</v>
      </c>
      <c r="H10" s="12" t="s">
        <v>262</v>
      </c>
    </row>
    <row r="11" spans="1:8" ht="25" x14ac:dyDescent="0.35">
      <c r="A11" s="12" t="s">
        <v>297</v>
      </c>
      <c r="B11" s="12" t="s">
        <v>256</v>
      </c>
      <c r="C11" s="12" t="s">
        <v>294</v>
      </c>
      <c r="D11" s="12" t="s">
        <v>298</v>
      </c>
      <c r="E11" s="12" t="s">
        <v>259</v>
      </c>
      <c r="F11" s="12" t="s">
        <v>299</v>
      </c>
      <c r="G11" s="12" t="s">
        <v>284</v>
      </c>
      <c r="H11" s="12" t="s">
        <v>262</v>
      </c>
    </row>
    <row r="12" spans="1:8" ht="25" x14ac:dyDescent="0.35">
      <c r="A12" s="12" t="s">
        <v>300</v>
      </c>
      <c r="B12" s="12" t="s">
        <v>256</v>
      </c>
      <c r="C12" s="12" t="s">
        <v>301</v>
      </c>
      <c r="D12" s="12" t="s">
        <v>302</v>
      </c>
      <c r="E12" s="12" t="s">
        <v>259</v>
      </c>
      <c r="F12" s="12" t="s">
        <v>303</v>
      </c>
      <c r="G12" s="12" t="s">
        <v>304</v>
      </c>
      <c r="H12" s="12" t="s">
        <v>262</v>
      </c>
    </row>
    <row r="13" spans="1:8" x14ac:dyDescent="0.35">
      <c r="A13" s="12" t="s">
        <v>305</v>
      </c>
      <c r="B13" s="12" t="s">
        <v>256</v>
      </c>
      <c r="C13" s="12" t="s">
        <v>306</v>
      </c>
      <c r="D13" s="12" t="s">
        <v>307</v>
      </c>
      <c r="E13" s="12" t="s">
        <v>259</v>
      </c>
      <c r="F13" s="12" t="s">
        <v>308</v>
      </c>
      <c r="G13" s="12" t="s">
        <v>304</v>
      </c>
      <c r="H13" s="12" t="s">
        <v>262</v>
      </c>
    </row>
    <row r="14" spans="1:8" x14ac:dyDescent="0.35">
      <c r="A14" s="12" t="s">
        <v>309</v>
      </c>
      <c r="B14" s="12" t="s">
        <v>256</v>
      </c>
      <c r="C14" s="12" t="s">
        <v>310</v>
      </c>
      <c r="D14" s="12" t="s">
        <v>311</v>
      </c>
      <c r="E14" s="12" t="s">
        <v>259</v>
      </c>
      <c r="F14" s="12" t="s">
        <v>312</v>
      </c>
      <c r="G14" s="12" t="s">
        <v>284</v>
      </c>
      <c r="H14" s="12" t="s">
        <v>262</v>
      </c>
    </row>
    <row r="15" spans="1:8" ht="25" x14ac:dyDescent="0.35">
      <c r="A15" s="12" t="s">
        <v>313</v>
      </c>
      <c r="B15" s="12" t="s">
        <v>256</v>
      </c>
      <c r="C15" s="12" t="s">
        <v>314</v>
      </c>
      <c r="D15" s="12" t="s">
        <v>315</v>
      </c>
      <c r="E15" s="12" t="s">
        <v>282</v>
      </c>
      <c r="F15" s="12" t="s">
        <v>316</v>
      </c>
      <c r="G15" s="12" t="s">
        <v>284</v>
      </c>
      <c r="H15" s="12" t="s">
        <v>262</v>
      </c>
    </row>
    <row r="16" spans="1:8" ht="25" x14ac:dyDescent="0.35">
      <c r="A16" s="12" t="s">
        <v>317</v>
      </c>
      <c r="B16" s="12" t="s">
        <v>256</v>
      </c>
      <c r="C16" s="12" t="s">
        <v>318</v>
      </c>
      <c r="D16" s="12" t="s">
        <v>319</v>
      </c>
      <c r="E16" s="12" t="s">
        <v>282</v>
      </c>
      <c r="F16" s="12" t="s">
        <v>320</v>
      </c>
      <c r="G16" s="12" t="s">
        <v>321</v>
      </c>
      <c r="H16" s="12" t="s">
        <v>262</v>
      </c>
    </row>
    <row r="17" spans="1:8" ht="25" x14ac:dyDescent="0.35">
      <c r="A17" s="12" t="s">
        <v>322</v>
      </c>
      <c r="B17" s="12" t="s">
        <v>256</v>
      </c>
      <c r="C17" s="12" t="s">
        <v>318</v>
      </c>
      <c r="D17" s="12" t="s">
        <v>323</v>
      </c>
      <c r="E17" s="12" t="s">
        <v>282</v>
      </c>
      <c r="F17" s="12" t="s">
        <v>324</v>
      </c>
      <c r="G17" s="12" t="s">
        <v>321</v>
      </c>
      <c r="H17" s="12" t="s">
        <v>262</v>
      </c>
    </row>
    <row r="18" spans="1:8" ht="25" x14ac:dyDescent="0.35">
      <c r="A18" s="12" t="s">
        <v>325</v>
      </c>
      <c r="B18" s="12" t="s">
        <v>256</v>
      </c>
      <c r="C18" s="12" t="s">
        <v>326</v>
      </c>
      <c r="D18" s="12" t="s">
        <v>327</v>
      </c>
      <c r="E18" s="12" t="s">
        <v>282</v>
      </c>
      <c r="F18" s="12" t="s">
        <v>328</v>
      </c>
      <c r="G18" s="12" t="s">
        <v>284</v>
      </c>
      <c r="H18" s="12" t="s">
        <v>262</v>
      </c>
    </row>
    <row r="19" spans="1:8" ht="25" x14ac:dyDescent="0.35">
      <c r="A19" s="12" t="s">
        <v>329</v>
      </c>
      <c r="B19" s="12" t="s">
        <v>256</v>
      </c>
      <c r="C19" s="12" t="s">
        <v>330</v>
      </c>
      <c r="D19" s="12" t="s">
        <v>331</v>
      </c>
      <c r="E19" s="12" t="s">
        <v>332</v>
      </c>
      <c r="F19" s="12" t="s">
        <v>333</v>
      </c>
      <c r="G19" s="12" t="s">
        <v>321</v>
      </c>
      <c r="H19" s="12" t="s">
        <v>262</v>
      </c>
    </row>
    <row r="20" spans="1:8" x14ac:dyDescent="0.35">
      <c r="A20" s="12" t="s">
        <v>334</v>
      </c>
      <c r="B20" s="12" t="s">
        <v>256</v>
      </c>
      <c r="C20" s="12" t="s">
        <v>335</v>
      </c>
      <c r="D20" s="12" t="s">
        <v>336</v>
      </c>
      <c r="E20" s="12" t="s">
        <v>282</v>
      </c>
      <c r="F20" s="12" t="s">
        <v>337</v>
      </c>
      <c r="G20" s="12" t="s">
        <v>338</v>
      </c>
      <c r="H20" s="12" t="s">
        <v>262</v>
      </c>
    </row>
    <row r="21" spans="1:8" x14ac:dyDescent="0.35">
      <c r="A21" s="12" t="s">
        <v>339</v>
      </c>
      <c r="B21" s="12" t="s">
        <v>256</v>
      </c>
      <c r="C21" s="12" t="s">
        <v>340</v>
      </c>
      <c r="D21" s="12" t="s">
        <v>341</v>
      </c>
      <c r="E21" s="12" t="s">
        <v>259</v>
      </c>
      <c r="F21" s="12" t="s">
        <v>342</v>
      </c>
      <c r="G21" s="12" t="s">
        <v>261</v>
      </c>
      <c r="H21" s="12" t="s">
        <v>262</v>
      </c>
    </row>
    <row r="22" spans="1:8" ht="25" x14ac:dyDescent="0.35">
      <c r="A22" s="12" t="s">
        <v>343</v>
      </c>
      <c r="B22" s="12" t="s">
        <v>344</v>
      </c>
      <c r="C22" s="12" t="s">
        <v>345</v>
      </c>
      <c r="D22" s="12" t="s">
        <v>346</v>
      </c>
      <c r="E22" s="12" t="s">
        <v>259</v>
      </c>
      <c r="F22" s="12" t="s">
        <v>347</v>
      </c>
      <c r="G22" s="12" t="s">
        <v>267</v>
      </c>
      <c r="H22" s="12" t="s">
        <v>262</v>
      </c>
    </row>
    <row r="23" spans="1:8" x14ac:dyDescent="0.35">
      <c r="A23" s="12" t="s">
        <v>348</v>
      </c>
      <c r="B23" s="12" t="s">
        <v>344</v>
      </c>
      <c r="C23" s="12" t="s">
        <v>345</v>
      </c>
      <c r="D23" s="12" t="s">
        <v>349</v>
      </c>
      <c r="E23" s="12" t="s">
        <v>259</v>
      </c>
      <c r="F23" s="12" t="s">
        <v>350</v>
      </c>
      <c r="G23" s="12" t="s">
        <v>261</v>
      </c>
      <c r="H23" s="12" t="s">
        <v>262</v>
      </c>
    </row>
    <row r="24" spans="1:8" x14ac:dyDescent="0.35">
      <c r="A24" s="12" t="s">
        <v>351</v>
      </c>
      <c r="B24" s="12" t="s">
        <v>344</v>
      </c>
      <c r="C24" s="12" t="s">
        <v>352</v>
      </c>
      <c r="D24" s="12" t="s">
        <v>353</v>
      </c>
      <c r="E24" s="12" t="s">
        <v>259</v>
      </c>
      <c r="F24" s="12" t="s">
        <v>354</v>
      </c>
      <c r="G24" s="12" t="s">
        <v>267</v>
      </c>
      <c r="H24" s="12" t="s">
        <v>262</v>
      </c>
    </row>
    <row r="25" spans="1:8" ht="25" x14ac:dyDescent="0.35">
      <c r="A25" s="12" t="s">
        <v>355</v>
      </c>
      <c r="B25" s="12" t="s">
        <v>344</v>
      </c>
      <c r="C25" s="12" t="s">
        <v>356</v>
      </c>
      <c r="D25" s="12" t="s">
        <v>357</v>
      </c>
      <c r="E25" s="12" t="s">
        <v>259</v>
      </c>
      <c r="F25" s="12" t="s">
        <v>358</v>
      </c>
      <c r="G25" s="12" t="s">
        <v>261</v>
      </c>
      <c r="H25" s="12" t="s">
        <v>262</v>
      </c>
    </row>
    <row r="26" spans="1:8" x14ac:dyDescent="0.35">
      <c r="A26" s="12" t="s">
        <v>359</v>
      </c>
      <c r="B26" s="12" t="s">
        <v>344</v>
      </c>
      <c r="C26" s="12" t="s">
        <v>356</v>
      </c>
      <c r="D26" s="12" t="s">
        <v>360</v>
      </c>
      <c r="E26" s="12" t="s">
        <v>282</v>
      </c>
      <c r="F26" s="12" t="s">
        <v>361</v>
      </c>
      <c r="G26" s="12" t="s">
        <v>338</v>
      </c>
      <c r="H26" s="12" t="s">
        <v>262</v>
      </c>
    </row>
    <row r="27" spans="1:8" ht="25" x14ac:dyDescent="0.35">
      <c r="A27" s="12" t="s">
        <v>362</v>
      </c>
      <c r="B27" s="12" t="s">
        <v>344</v>
      </c>
      <c r="C27" s="12" t="s">
        <v>363</v>
      </c>
      <c r="D27" s="12" t="s">
        <v>364</v>
      </c>
      <c r="E27" s="12" t="s">
        <v>259</v>
      </c>
      <c r="F27" s="12" t="s">
        <v>365</v>
      </c>
      <c r="G27" s="12" t="s">
        <v>267</v>
      </c>
      <c r="H27" s="12" t="s">
        <v>262</v>
      </c>
    </row>
    <row r="28" spans="1:8" ht="25" x14ac:dyDescent="0.35">
      <c r="A28" s="12" t="s">
        <v>366</v>
      </c>
      <c r="B28" s="12" t="s">
        <v>344</v>
      </c>
      <c r="C28" s="12" t="s">
        <v>367</v>
      </c>
      <c r="D28" s="12" t="s">
        <v>368</v>
      </c>
      <c r="E28" s="12" t="s">
        <v>282</v>
      </c>
      <c r="F28" s="12" t="s">
        <v>369</v>
      </c>
      <c r="G28" s="12" t="s">
        <v>304</v>
      </c>
      <c r="H28" s="12" t="s">
        <v>262</v>
      </c>
    </row>
    <row r="29" spans="1:8" x14ac:dyDescent="0.35">
      <c r="A29" s="12" t="s">
        <v>370</v>
      </c>
      <c r="B29" s="12" t="s">
        <v>344</v>
      </c>
      <c r="C29" s="12" t="s">
        <v>371</v>
      </c>
      <c r="D29" s="12" t="s">
        <v>372</v>
      </c>
      <c r="E29" s="12" t="s">
        <v>259</v>
      </c>
      <c r="F29" s="12" t="s">
        <v>373</v>
      </c>
      <c r="G29" s="12" t="s">
        <v>267</v>
      </c>
      <c r="H29" s="12" t="s">
        <v>262</v>
      </c>
    </row>
    <row r="30" spans="1:8" x14ac:dyDescent="0.35">
      <c r="A30" s="12" t="s">
        <v>374</v>
      </c>
      <c r="B30" s="12" t="s">
        <v>344</v>
      </c>
      <c r="C30" s="12" t="s">
        <v>375</v>
      </c>
      <c r="D30" s="12" t="s">
        <v>376</v>
      </c>
      <c r="E30" s="12" t="s">
        <v>282</v>
      </c>
      <c r="F30" s="12" t="s">
        <v>377</v>
      </c>
      <c r="G30" s="12" t="s">
        <v>261</v>
      </c>
      <c r="H30" s="12" t="s">
        <v>262</v>
      </c>
    </row>
    <row r="31" spans="1:8" x14ac:dyDescent="0.35">
      <c r="A31" s="12" t="s">
        <v>378</v>
      </c>
      <c r="B31" s="12" t="s">
        <v>344</v>
      </c>
      <c r="C31" s="12" t="s">
        <v>379</v>
      </c>
      <c r="D31" s="12" t="s">
        <v>380</v>
      </c>
      <c r="E31" s="12" t="s">
        <v>259</v>
      </c>
      <c r="F31" s="12" t="s">
        <v>381</v>
      </c>
      <c r="G31" s="12" t="s">
        <v>261</v>
      </c>
      <c r="H31" s="12" t="s">
        <v>262</v>
      </c>
    </row>
  </sheetData>
  <autoFilter ref="A1:H3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B1FA2"/>
  </sheetPr>
  <dimension ref="A1:E27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30" customWidth="1"/>
    <col min="2" max="2" width="40" customWidth="1"/>
    <col min="3" max="3" width="34" customWidth="1"/>
    <col min="4" max="4" width="10" customWidth="1"/>
    <col min="5" max="5" width="66" customWidth="1"/>
  </cols>
  <sheetData>
    <row r="1" spans="1:5" ht="27.75" customHeight="1" x14ac:dyDescent="0.35">
      <c r="A1" s="11" t="s">
        <v>382</v>
      </c>
      <c r="B1" s="11" t="s">
        <v>383</v>
      </c>
      <c r="C1" s="11" t="s">
        <v>384</v>
      </c>
      <c r="D1" s="11" t="s">
        <v>385</v>
      </c>
      <c r="E1" s="11" t="s">
        <v>386</v>
      </c>
    </row>
    <row r="2" spans="1:5" x14ac:dyDescent="0.35">
      <c r="A2" s="12" t="s">
        <v>387</v>
      </c>
      <c r="B2" s="12" t="s">
        <v>388</v>
      </c>
      <c r="C2" s="12" t="s">
        <v>388</v>
      </c>
      <c r="D2" s="12" t="s">
        <v>389</v>
      </c>
      <c r="E2" s="12" t="s">
        <v>390</v>
      </c>
    </row>
    <row r="3" spans="1:5" x14ac:dyDescent="0.35">
      <c r="A3" s="12" t="s">
        <v>391</v>
      </c>
      <c r="B3" s="12" t="s">
        <v>387</v>
      </c>
      <c r="C3" s="12" t="s">
        <v>388</v>
      </c>
      <c r="D3" s="12" t="s">
        <v>389</v>
      </c>
      <c r="E3" s="12" t="s">
        <v>392</v>
      </c>
    </row>
    <row r="4" spans="1:5" x14ac:dyDescent="0.35">
      <c r="A4" s="12" t="s">
        <v>393</v>
      </c>
      <c r="B4" s="12" t="s">
        <v>388</v>
      </c>
      <c r="C4" s="12" t="s">
        <v>388</v>
      </c>
      <c r="D4" s="12" t="s">
        <v>389</v>
      </c>
      <c r="E4" s="12" t="s">
        <v>394</v>
      </c>
    </row>
    <row r="5" spans="1:5" x14ac:dyDescent="0.35">
      <c r="A5" s="12" t="s">
        <v>395</v>
      </c>
      <c r="B5" s="12" t="s">
        <v>396</v>
      </c>
      <c r="C5" s="12" t="s">
        <v>397</v>
      </c>
      <c r="D5" s="12" t="s">
        <v>389</v>
      </c>
      <c r="E5" s="12" t="s">
        <v>398</v>
      </c>
    </row>
    <row r="6" spans="1:5" x14ac:dyDescent="0.35">
      <c r="A6" s="12" t="s">
        <v>399</v>
      </c>
      <c r="B6" s="12" t="s">
        <v>387</v>
      </c>
      <c r="C6" s="12" t="s">
        <v>400</v>
      </c>
      <c r="D6" s="12" t="s">
        <v>389</v>
      </c>
      <c r="E6" s="12" t="s">
        <v>401</v>
      </c>
    </row>
    <row r="7" spans="1:5" x14ac:dyDescent="0.35">
      <c r="A7" s="12" t="s">
        <v>402</v>
      </c>
      <c r="B7" s="12" t="s">
        <v>403</v>
      </c>
      <c r="C7" s="12" t="s">
        <v>404</v>
      </c>
      <c r="D7" s="12" t="s">
        <v>389</v>
      </c>
      <c r="E7" s="12" t="s">
        <v>405</v>
      </c>
    </row>
    <row r="8" spans="1:5" x14ac:dyDescent="0.35">
      <c r="A8" s="12" t="s">
        <v>406</v>
      </c>
      <c r="B8" s="12" t="s">
        <v>407</v>
      </c>
      <c r="C8" s="12" t="s">
        <v>388</v>
      </c>
      <c r="D8" s="12" t="s">
        <v>408</v>
      </c>
      <c r="E8" s="12" t="s">
        <v>409</v>
      </c>
    </row>
    <row r="9" spans="1:5" x14ac:dyDescent="0.35">
      <c r="A9" s="12" t="s">
        <v>410</v>
      </c>
      <c r="B9" s="12" t="s">
        <v>411</v>
      </c>
      <c r="C9" s="12" t="s">
        <v>388</v>
      </c>
      <c r="D9" s="12" t="s">
        <v>408</v>
      </c>
      <c r="E9" s="12" t="s">
        <v>412</v>
      </c>
    </row>
    <row r="10" spans="1:5" x14ac:dyDescent="0.35">
      <c r="A10" s="12" t="s">
        <v>413</v>
      </c>
      <c r="B10" s="12" t="s">
        <v>286</v>
      </c>
      <c r="C10" s="12" t="s">
        <v>414</v>
      </c>
      <c r="D10" s="12" t="s">
        <v>408</v>
      </c>
      <c r="E10" s="12" t="s">
        <v>415</v>
      </c>
    </row>
    <row r="11" spans="1:5" x14ac:dyDescent="0.35">
      <c r="A11" s="12" t="s">
        <v>314</v>
      </c>
      <c r="B11" s="12" t="s">
        <v>269</v>
      </c>
      <c r="C11" s="12" t="s">
        <v>416</v>
      </c>
      <c r="D11" s="12" t="s">
        <v>408</v>
      </c>
      <c r="E11" s="12" t="s">
        <v>417</v>
      </c>
    </row>
    <row r="12" spans="1:5" x14ac:dyDescent="0.35">
      <c r="A12" s="12" t="s">
        <v>418</v>
      </c>
      <c r="B12" s="12" t="s">
        <v>419</v>
      </c>
      <c r="C12" s="12" t="s">
        <v>420</v>
      </c>
      <c r="D12" s="12" t="s">
        <v>408</v>
      </c>
      <c r="E12" s="12" t="s">
        <v>421</v>
      </c>
    </row>
    <row r="13" spans="1:5" x14ac:dyDescent="0.35">
      <c r="A13" s="12" t="s">
        <v>422</v>
      </c>
      <c r="B13" s="12" t="s">
        <v>423</v>
      </c>
      <c r="C13" s="12" t="s">
        <v>388</v>
      </c>
      <c r="D13" s="12" t="s">
        <v>408</v>
      </c>
      <c r="E13" s="12" t="s">
        <v>424</v>
      </c>
    </row>
    <row r="14" spans="1:5" x14ac:dyDescent="0.35">
      <c r="A14" s="12" t="s">
        <v>425</v>
      </c>
      <c r="B14" s="12" t="s">
        <v>426</v>
      </c>
      <c r="C14" s="12" t="s">
        <v>427</v>
      </c>
      <c r="D14" s="12" t="s">
        <v>408</v>
      </c>
      <c r="E14" s="12" t="s">
        <v>428</v>
      </c>
    </row>
    <row r="15" spans="1:5" x14ac:dyDescent="0.35">
      <c r="A15" s="12" t="s">
        <v>429</v>
      </c>
      <c r="B15" s="12" t="s">
        <v>430</v>
      </c>
      <c r="C15" s="12" t="s">
        <v>388</v>
      </c>
      <c r="D15" s="12" t="s">
        <v>408</v>
      </c>
      <c r="E15" s="12" t="s">
        <v>431</v>
      </c>
    </row>
    <row r="16" spans="1:5" x14ac:dyDescent="0.35">
      <c r="A16" s="12" t="s">
        <v>432</v>
      </c>
      <c r="B16" s="12" t="s">
        <v>433</v>
      </c>
      <c r="C16" s="12" t="s">
        <v>388</v>
      </c>
      <c r="D16" s="12" t="s">
        <v>434</v>
      </c>
      <c r="E16" s="12" t="s">
        <v>435</v>
      </c>
    </row>
    <row r="17" spans="1:5" x14ac:dyDescent="0.35">
      <c r="A17" s="12" t="s">
        <v>436</v>
      </c>
      <c r="B17" s="12" t="s">
        <v>437</v>
      </c>
      <c r="C17" s="12" t="s">
        <v>438</v>
      </c>
      <c r="D17" s="12" t="s">
        <v>434</v>
      </c>
      <c r="E17" s="12" t="s">
        <v>439</v>
      </c>
    </row>
    <row r="18" spans="1:5" x14ac:dyDescent="0.35">
      <c r="A18" s="12" t="s">
        <v>440</v>
      </c>
      <c r="B18" s="12" t="s">
        <v>441</v>
      </c>
      <c r="C18" s="12" t="s">
        <v>442</v>
      </c>
      <c r="D18" s="12" t="s">
        <v>434</v>
      </c>
      <c r="E18" s="12" t="s">
        <v>443</v>
      </c>
    </row>
    <row r="19" spans="1:5" x14ac:dyDescent="0.35">
      <c r="A19" s="12" t="s">
        <v>444</v>
      </c>
      <c r="B19" s="12" t="s">
        <v>445</v>
      </c>
      <c r="C19" s="12" t="s">
        <v>446</v>
      </c>
      <c r="D19" s="12" t="s">
        <v>434</v>
      </c>
      <c r="E19" s="12" t="s">
        <v>447</v>
      </c>
    </row>
    <row r="20" spans="1:5" x14ac:dyDescent="0.35">
      <c r="A20" s="12" t="s">
        <v>448</v>
      </c>
      <c r="B20" s="12" t="s">
        <v>449</v>
      </c>
      <c r="C20" s="12" t="s">
        <v>450</v>
      </c>
      <c r="D20" s="12" t="s">
        <v>434</v>
      </c>
      <c r="E20" s="12" t="s">
        <v>451</v>
      </c>
    </row>
    <row r="21" spans="1:5" x14ac:dyDescent="0.35">
      <c r="A21" s="12" t="s">
        <v>452</v>
      </c>
      <c r="B21" s="12" t="s">
        <v>453</v>
      </c>
      <c r="C21" s="12" t="s">
        <v>388</v>
      </c>
      <c r="D21" s="12" t="s">
        <v>434</v>
      </c>
      <c r="E21" s="12" t="s">
        <v>454</v>
      </c>
    </row>
    <row r="22" spans="1:5" x14ac:dyDescent="0.35">
      <c r="A22" s="12" t="s">
        <v>455</v>
      </c>
      <c r="B22" s="12" t="s">
        <v>456</v>
      </c>
      <c r="C22" s="12" t="s">
        <v>388</v>
      </c>
      <c r="D22" s="12" t="s">
        <v>434</v>
      </c>
      <c r="E22" s="12" t="s">
        <v>457</v>
      </c>
    </row>
    <row r="23" spans="1:5" x14ac:dyDescent="0.35">
      <c r="A23" s="12" t="s">
        <v>458</v>
      </c>
      <c r="B23" s="12" t="s">
        <v>388</v>
      </c>
      <c r="C23" s="12" t="s">
        <v>459</v>
      </c>
      <c r="D23" s="12" t="s">
        <v>408</v>
      </c>
      <c r="E23" s="12" t="s">
        <v>460</v>
      </c>
    </row>
    <row r="24" spans="1:5" x14ac:dyDescent="0.35">
      <c r="A24" s="12" t="s">
        <v>461</v>
      </c>
      <c r="B24" s="12" t="s">
        <v>462</v>
      </c>
      <c r="C24" s="12" t="s">
        <v>463</v>
      </c>
      <c r="D24" s="12" t="s">
        <v>464</v>
      </c>
      <c r="E24" s="12" t="s">
        <v>465</v>
      </c>
    </row>
    <row r="25" spans="1:5" x14ac:dyDescent="0.35">
      <c r="A25" s="12" t="s">
        <v>466</v>
      </c>
      <c r="B25" s="12" t="s">
        <v>467</v>
      </c>
      <c r="C25" s="12" t="s">
        <v>468</v>
      </c>
      <c r="D25" s="12" t="s">
        <v>464</v>
      </c>
      <c r="E25" s="12" t="s">
        <v>469</v>
      </c>
    </row>
    <row r="27" spans="1:5" ht="27.75" customHeight="1" x14ac:dyDescent="0.35">
      <c r="A27" s="1" t="s">
        <v>470</v>
      </c>
      <c r="B27" s="1"/>
      <c r="C27" s="1"/>
      <c r="D27" s="1"/>
      <c r="E27" s="1"/>
    </row>
  </sheetData>
  <autoFilter ref="A1:E25" xr:uid="{00000000-0009-0000-0000-000004000000}"/>
  <mergeCells count="1">
    <mergeCell ref="A27:E2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9"/>
  </sheetPr>
  <dimension ref="A1:H10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9" customWidth="1"/>
    <col min="2" max="2" width="30" customWidth="1"/>
    <col min="3" max="4" width="60" customWidth="1"/>
    <col min="5" max="6" width="14" customWidth="1"/>
    <col min="7" max="7" width="18" customWidth="1"/>
    <col min="8" max="8" width="12" customWidth="1"/>
  </cols>
  <sheetData>
    <row r="1" spans="1:8" ht="27.75" customHeight="1" x14ac:dyDescent="0.35">
      <c r="A1" s="11" t="s">
        <v>253</v>
      </c>
      <c r="B1" s="11" t="s">
        <v>471</v>
      </c>
      <c r="C1" s="11" t="s">
        <v>472</v>
      </c>
      <c r="D1" s="11" t="s">
        <v>473</v>
      </c>
      <c r="E1" s="11" t="s">
        <v>474</v>
      </c>
      <c r="F1" s="11" t="s">
        <v>475</v>
      </c>
      <c r="G1" s="11" t="s">
        <v>476</v>
      </c>
      <c r="H1" s="11" t="s">
        <v>254</v>
      </c>
    </row>
    <row r="2" spans="1:8" ht="25" x14ac:dyDescent="0.35">
      <c r="A2" s="12" t="s">
        <v>477</v>
      </c>
      <c r="B2" s="12" t="s">
        <v>478</v>
      </c>
      <c r="C2" s="12" t="s">
        <v>479</v>
      </c>
      <c r="D2" s="12" t="s">
        <v>480</v>
      </c>
      <c r="E2" s="12">
        <v>3</v>
      </c>
      <c r="F2" s="12" t="s">
        <v>388</v>
      </c>
      <c r="G2" s="12" t="s">
        <v>481</v>
      </c>
      <c r="H2" s="12" t="s">
        <v>262</v>
      </c>
    </row>
    <row r="3" spans="1:8" ht="25" x14ac:dyDescent="0.35">
      <c r="A3" s="12" t="s">
        <v>261</v>
      </c>
      <c r="B3" s="12" t="s">
        <v>482</v>
      </c>
      <c r="C3" s="12" t="s">
        <v>483</v>
      </c>
      <c r="D3" s="12" t="s">
        <v>484</v>
      </c>
      <c r="E3" s="12">
        <v>6</v>
      </c>
      <c r="F3" s="12" t="s">
        <v>485</v>
      </c>
      <c r="G3" s="12" t="s">
        <v>486</v>
      </c>
      <c r="H3" s="12" t="s">
        <v>262</v>
      </c>
    </row>
    <row r="4" spans="1:8" ht="25" x14ac:dyDescent="0.35">
      <c r="A4" s="12" t="s">
        <v>267</v>
      </c>
      <c r="B4" s="12" t="s">
        <v>487</v>
      </c>
      <c r="C4" s="12" t="s">
        <v>488</v>
      </c>
      <c r="D4" s="12" t="s">
        <v>489</v>
      </c>
      <c r="E4" s="12">
        <v>6</v>
      </c>
      <c r="F4" s="12" t="s">
        <v>490</v>
      </c>
      <c r="G4" s="12" t="s">
        <v>491</v>
      </c>
      <c r="H4" s="12" t="s">
        <v>262</v>
      </c>
    </row>
    <row r="5" spans="1:8" ht="25" x14ac:dyDescent="0.35">
      <c r="A5" s="12" t="s">
        <v>284</v>
      </c>
      <c r="B5" s="12" t="s">
        <v>492</v>
      </c>
      <c r="C5" s="12" t="s">
        <v>493</v>
      </c>
      <c r="D5" s="12" t="s">
        <v>494</v>
      </c>
      <c r="E5" s="12">
        <v>6</v>
      </c>
      <c r="F5" s="12" t="s">
        <v>495</v>
      </c>
      <c r="G5" s="12" t="s">
        <v>496</v>
      </c>
      <c r="H5" s="12" t="s">
        <v>262</v>
      </c>
    </row>
    <row r="6" spans="1:8" ht="25" x14ac:dyDescent="0.35">
      <c r="A6" s="12" t="s">
        <v>304</v>
      </c>
      <c r="B6" s="12" t="s">
        <v>497</v>
      </c>
      <c r="C6" s="12" t="s">
        <v>498</v>
      </c>
      <c r="D6" s="12" t="s">
        <v>499</v>
      </c>
      <c r="E6" s="12">
        <v>7</v>
      </c>
      <c r="F6" s="12" t="s">
        <v>495</v>
      </c>
      <c r="G6" s="12" t="s">
        <v>500</v>
      </c>
      <c r="H6" s="12" t="s">
        <v>262</v>
      </c>
    </row>
    <row r="7" spans="1:8" ht="25" x14ac:dyDescent="0.35">
      <c r="A7" s="12" t="s">
        <v>321</v>
      </c>
      <c r="B7" s="12" t="s">
        <v>501</v>
      </c>
      <c r="C7" s="12" t="s">
        <v>502</v>
      </c>
      <c r="D7" s="12" t="s">
        <v>503</v>
      </c>
      <c r="E7" s="12">
        <v>7</v>
      </c>
      <c r="F7" s="12" t="s">
        <v>504</v>
      </c>
      <c r="G7" s="12" t="s">
        <v>505</v>
      </c>
      <c r="H7" s="12" t="s">
        <v>262</v>
      </c>
    </row>
    <row r="8" spans="1:8" ht="25" x14ac:dyDescent="0.35">
      <c r="A8" s="12" t="s">
        <v>338</v>
      </c>
      <c r="B8" s="12" t="s">
        <v>506</v>
      </c>
      <c r="C8" s="12" t="s">
        <v>507</v>
      </c>
      <c r="D8" s="12" t="s">
        <v>508</v>
      </c>
      <c r="E8" s="12">
        <v>6</v>
      </c>
      <c r="F8" s="12" t="s">
        <v>509</v>
      </c>
      <c r="G8" s="12" t="s">
        <v>510</v>
      </c>
      <c r="H8" s="12" t="s">
        <v>262</v>
      </c>
    </row>
    <row r="10" spans="1:8" ht="27.75" customHeight="1" x14ac:dyDescent="0.35">
      <c r="A10" s="1" t="s">
        <v>511</v>
      </c>
      <c r="B10" s="1"/>
      <c r="C10" s="1"/>
      <c r="D10" s="1"/>
      <c r="E10" s="1"/>
      <c r="F10" s="1"/>
      <c r="G10" s="1"/>
      <c r="H10" s="1"/>
    </row>
  </sheetData>
  <autoFilter ref="A1:H8" xr:uid="{00000000-0009-0000-0000-000005000000}"/>
  <mergeCells count="1">
    <mergeCell ref="A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65100"/>
  </sheetPr>
  <dimension ref="A1:F10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26" customWidth="1"/>
    <col min="3" max="3" width="16" customWidth="1"/>
    <col min="4" max="4" width="76" customWidth="1"/>
    <col min="5" max="5" width="46" customWidth="1"/>
    <col min="6" max="6" width="34" customWidth="1"/>
  </cols>
  <sheetData>
    <row r="1" spans="1:6" ht="27.75" customHeight="1" x14ac:dyDescent="0.35">
      <c r="A1" s="11" t="s">
        <v>512</v>
      </c>
      <c r="B1" s="11" t="s">
        <v>513</v>
      </c>
      <c r="C1" s="11" t="s">
        <v>514</v>
      </c>
      <c r="D1" s="11" t="s">
        <v>515</v>
      </c>
      <c r="E1" s="11" t="s">
        <v>516</v>
      </c>
      <c r="F1" s="11" t="s">
        <v>517</v>
      </c>
    </row>
    <row r="2" spans="1:6" ht="25" x14ac:dyDescent="0.35">
      <c r="A2" s="12" t="s">
        <v>518</v>
      </c>
      <c r="B2" s="12" t="s">
        <v>519</v>
      </c>
      <c r="C2" s="12" t="s">
        <v>520</v>
      </c>
      <c r="D2" s="12" t="s">
        <v>521</v>
      </c>
      <c r="E2" s="12" t="s">
        <v>522</v>
      </c>
      <c r="F2" s="12" t="s">
        <v>388</v>
      </c>
    </row>
    <row r="3" spans="1:6" ht="25" x14ac:dyDescent="0.35">
      <c r="A3" s="12" t="s">
        <v>523</v>
      </c>
      <c r="B3" s="12" t="s">
        <v>524</v>
      </c>
      <c r="C3" s="12" t="s">
        <v>525</v>
      </c>
      <c r="D3" s="12" t="s">
        <v>526</v>
      </c>
      <c r="E3" s="12" t="s">
        <v>527</v>
      </c>
      <c r="F3" s="12" t="s">
        <v>528</v>
      </c>
    </row>
    <row r="4" spans="1:6" ht="37.5" x14ac:dyDescent="0.35">
      <c r="A4" s="12" t="s">
        <v>529</v>
      </c>
      <c r="B4" s="12" t="s">
        <v>530</v>
      </c>
      <c r="C4" s="12" t="s">
        <v>531</v>
      </c>
      <c r="D4" s="12" t="s">
        <v>532</v>
      </c>
      <c r="E4" s="12" t="s">
        <v>533</v>
      </c>
      <c r="F4" s="12" t="s">
        <v>534</v>
      </c>
    </row>
    <row r="5" spans="1:6" ht="25" x14ac:dyDescent="0.35">
      <c r="A5" s="12" t="s">
        <v>535</v>
      </c>
      <c r="B5" s="12" t="s">
        <v>536</v>
      </c>
      <c r="C5" s="12" t="s">
        <v>537</v>
      </c>
      <c r="D5" s="12" t="s">
        <v>538</v>
      </c>
      <c r="E5" s="12" t="s">
        <v>539</v>
      </c>
      <c r="F5" s="12" t="s">
        <v>540</v>
      </c>
    </row>
    <row r="6" spans="1:6" ht="25" x14ac:dyDescent="0.35">
      <c r="A6" s="12" t="s">
        <v>541</v>
      </c>
      <c r="B6" s="12" t="s">
        <v>542</v>
      </c>
      <c r="C6" s="12" t="s">
        <v>543</v>
      </c>
      <c r="D6" s="12" t="s">
        <v>544</v>
      </c>
      <c r="E6" s="12" t="s">
        <v>545</v>
      </c>
      <c r="F6" s="12" t="s">
        <v>546</v>
      </c>
    </row>
    <row r="7" spans="1:6" ht="25" x14ac:dyDescent="0.35">
      <c r="A7" s="12" t="s">
        <v>547</v>
      </c>
      <c r="B7" s="12" t="s">
        <v>548</v>
      </c>
      <c r="C7" s="12" t="s">
        <v>549</v>
      </c>
      <c r="D7" s="12" t="s">
        <v>550</v>
      </c>
      <c r="E7" s="12" t="s">
        <v>551</v>
      </c>
      <c r="F7" s="12" t="s">
        <v>552</v>
      </c>
    </row>
    <row r="8" spans="1:6" ht="37.5" x14ac:dyDescent="0.35">
      <c r="A8" s="12" t="s">
        <v>553</v>
      </c>
      <c r="B8" s="12" t="s">
        <v>554</v>
      </c>
      <c r="C8" s="12" t="s">
        <v>555</v>
      </c>
      <c r="D8" s="12" t="s">
        <v>556</v>
      </c>
      <c r="E8" s="12" t="s">
        <v>557</v>
      </c>
      <c r="F8" s="12" t="s">
        <v>558</v>
      </c>
    </row>
    <row r="10" spans="1:6" ht="27.75" customHeight="1" x14ac:dyDescent="0.35">
      <c r="A10" s="1" t="s">
        <v>559</v>
      </c>
      <c r="B10" s="1"/>
      <c r="C10" s="1"/>
      <c r="D10" s="1"/>
      <c r="E10" s="1"/>
      <c r="F10" s="1"/>
    </row>
  </sheetData>
  <autoFilter ref="A1:F8" xr:uid="{00000000-0009-0000-0000-000006000000}"/>
  <mergeCells count="1"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4E79"/>
  </sheetPr>
  <dimension ref="A1:H15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2" width="10" customWidth="1"/>
    <col min="3" max="3" width="46" customWidth="1"/>
    <col min="4" max="4" width="62" customWidth="1"/>
    <col min="5" max="5" width="13" customWidth="1"/>
    <col min="6" max="7" width="14" customWidth="1"/>
    <col min="8" max="8" width="12" customWidth="1"/>
  </cols>
  <sheetData>
    <row r="1" spans="1:8" ht="27.75" customHeight="1" x14ac:dyDescent="0.35">
      <c r="A1" s="11" t="s">
        <v>560</v>
      </c>
      <c r="B1" s="11" t="s">
        <v>561</v>
      </c>
      <c r="C1" s="11" t="s">
        <v>562</v>
      </c>
      <c r="D1" s="11" t="s">
        <v>563</v>
      </c>
      <c r="E1" s="11" t="s">
        <v>564</v>
      </c>
      <c r="F1" s="11" t="s">
        <v>565</v>
      </c>
      <c r="G1" s="11" t="s">
        <v>566</v>
      </c>
      <c r="H1" s="11" t="s">
        <v>254</v>
      </c>
    </row>
    <row r="2" spans="1:8" x14ac:dyDescent="0.35">
      <c r="A2" s="12" t="s">
        <v>567</v>
      </c>
      <c r="B2" s="12" t="s">
        <v>568</v>
      </c>
      <c r="C2" s="12" t="s">
        <v>569</v>
      </c>
      <c r="D2" s="12" t="s">
        <v>570</v>
      </c>
      <c r="E2" s="12">
        <v>21</v>
      </c>
      <c r="F2" s="13">
        <v>0</v>
      </c>
      <c r="G2" s="14">
        <f t="shared" ref="G2:G13" si="0">IF(E2=0,0,F2/E2)</f>
        <v>0</v>
      </c>
      <c r="H2" s="12" t="s">
        <v>262</v>
      </c>
    </row>
    <row r="3" spans="1:8" x14ac:dyDescent="0.35">
      <c r="A3" s="12" t="s">
        <v>571</v>
      </c>
      <c r="B3" s="12" t="s">
        <v>572</v>
      </c>
      <c r="C3" s="12" t="s">
        <v>573</v>
      </c>
      <c r="D3" s="12" t="s">
        <v>574</v>
      </c>
      <c r="E3" s="12">
        <v>26</v>
      </c>
      <c r="F3" s="13">
        <v>0</v>
      </c>
      <c r="G3" s="14">
        <f t="shared" si="0"/>
        <v>0</v>
      </c>
      <c r="H3" s="12" t="s">
        <v>262</v>
      </c>
    </row>
    <row r="4" spans="1:8" x14ac:dyDescent="0.35">
      <c r="A4" s="12" t="s">
        <v>575</v>
      </c>
      <c r="B4" s="12" t="s">
        <v>576</v>
      </c>
      <c r="C4" s="12" t="s">
        <v>577</v>
      </c>
      <c r="D4" s="12" t="s">
        <v>578</v>
      </c>
      <c r="E4" s="12">
        <v>29</v>
      </c>
      <c r="F4" s="13">
        <v>0</v>
      </c>
      <c r="G4" s="14">
        <f t="shared" si="0"/>
        <v>0</v>
      </c>
      <c r="H4" s="12" t="s">
        <v>262</v>
      </c>
    </row>
    <row r="5" spans="1:8" x14ac:dyDescent="0.35">
      <c r="A5" s="12" t="s">
        <v>579</v>
      </c>
      <c r="B5" s="12" t="s">
        <v>580</v>
      </c>
      <c r="C5" s="12" t="s">
        <v>581</v>
      </c>
      <c r="D5" s="12" t="s">
        <v>582</v>
      </c>
      <c r="E5" s="12">
        <v>24</v>
      </c>
      <c r="F5" s="13">
        <v>0</v>
      </c>
      <c r="G5" s="14">
        <f t="shared" si="0"/>
        <v>0</v>
      </c>
      <c r="H5" s="12" t="s">
        <v>262</v>
      </c>
    </row>
    <row r="6" spans="1:8" x14ac:dyDescent="0.35">
      <c r="A6" s="12" t="s">
        <v>583</v>
      </c>
      <c r="B6" s="12" t="s">
        <v>584</v>
      </c>
      <c r="C6" s="12" t="s">
        <v>585</v>
      </c>
      <c r="D6" s="12" t="s">
        <v>586</v>
      </c>
      <c r="E6" s="12">
        <v>31</v>
      </c>
      <c r="F6" s="13">
        <v>0</v>
      </c>
      <c r="G6" s="14">
        <f t="shared" si="0"/>
        <v>0</v>
      </c>
      <c r="H6" s="12" t="s">
        <v>262</v>
      </c>
    </row>
    <row r="7" spans="1:8" x14ac:dyDescent="0.35">
      <c r="A7" s="12" t="s">
        <v>587</v>
      </c>
      <c r="B7" s="12" t="s">
        <v>588</v>
      </c>
      <c r="C7" s="12" t="s">
        <v>589</v>
      </c>
      <c r="D7" s="12" t="s">
        <v>590</v>
      </c>
      <c r="E7" s="12">
        <v>28</v>
      </c>
      <c r="F7" s="13">
        <v>0</v>
      </c>
      <c r="G7" s="14">
        <f t="shared" si="0"/>
        <v>0</v>
      </c>
      <c r="H7" s="12" t="s">
        <v>262</v>
      </c>
    </row>
    <row r="8" spans="1:8" x14ac:dyDescent="0.35">
      <c r="A8" s="12" t="s">
        <v>591</v>
      </c>
      <c r="B8" s="12" t="s">
        <v>592</v>
      </c>
      <c r="C8" s="12" t="s">
        <v>593</v>
      </c>
      <c r="D8" s="12" t="s">
        <v>594</v>
      </c>
      <c r="E8" s="12">
        <v>30</v>
      </c>
      <c r="F8" s="13">
        <v>0</v>
      </c>
      <c r="G8" s="14">
        <f t="shared" si="0"/>
        <v>0</v>
      </c>
      <c r="H8" s="12" t="s">
        <v>262</v>
      </c>
    </row>
    <row r="9" spans="1:8" x14ac:dyDescent="0.35">
      <c r="A9" s="12" t="s">
        <v>595</v>
      </c>
      <c r="B9" s="12" t="s">
        <v>596</v>
      </c>
      <c r="C9" s="12" t="s">
        <v>597</v>
      </c>
      <c r="D9" s="12" t="s">
        <v>598</v>
      </c>
      <c r="E9" s="12">
        <v>27</v>
      </c>
      <c r="F9" s="13">
        <v>0</v>
      </c>
      <c r="G9" s="14">
        <f t="shared" si="0"/>
        <v>0</v>
      </c>
      <c r="H9" s="12" t="s">
        <v>262</v>
      </c>
    </row>
    <row r="10" spans="1:8" x14ac:dyDescent="0.35">
      <c r="A10" s="12" t="s">
        <v>599</v>
      </c>
      <c r="B10" s="12" t="s">
        <v>600</v>
      </c>
      <c r="C10" s="12" t="s">
        <v>601</v>
      </c>
      <c r="D10" s="12" t="s">
        <v>602</v>
      </c>
      <c r="E10" s="12">
        <v>22</v>
      </c>
      <c r="F10" s="13">
        <v>0</v>
      </c>
      <c r="G10" s="14">
        <f t="shared" si="0"/>
        <v>0</v>
      </c>
      <c r="H10" s="12" t="s">
        <v>262</v>
      </c>
    </row>
    <row r="11" spans="1:8" x14ac:dyDescent="0.35">
      <c r="A11" s="12" t="s">
        <v>603</v>
      </c>
      <c r="B11" s="12" t="s">
        <v>604</v>
      </c>
      <c r="C11" s="12" t="s">
        <v>605</v>
      </c>
      <c r="D11" s="12" t="s">
        <v>606</v>
      </c>
      <c r="E11" s="12">
        <v>32</v>
      </c>
      <c r="F11" s="13">
        <v>0</v>
      </c>
      <c r="G11" s="14">
        <f t="shared" si="0"/>
        <v>0</v>
      </c>
      <c r="H11" s="12" t="s">
        <v>262</v>
      </c>
    </row>
    <row r="12" spans="1:8" x14ac:dyDescent="0.35">
      <c r="A12" s="12" t="s">
        <v>607</v>
      </c>
      <c r="B12" s="12" t="s">
        <v>608</v>
      </c>
      <c r="C12" s="12" t="s">
        <v>609</v>
      </c>
      <c r="D12" s="12" t="s">
        <v>610</v>
      </c>
      <c r="E12" s="12">
        <v>33</v>
      </c>
      <c r="F12" s="13">
        <v>0</v>
      </c>
      <c r="G12" s="14">
        <f t="shared" si="0"/>
        <v>0</v>
      </c>
      <c r="H12" s="12" t="s">
        <v>262</v>
      </c>
    </row>
    <row r="13" spans="1:8" x14ac:dyDescent="0.35">
      <c r="A13" s="12" t="s">
        <v>611</v>
      </c>
      <c r="B13" s="12" t="s">
        <v>612</v>
      </c>
      <c r="C13" s="12" t="s">
        <v>613</v>
      </c>
      <c r="D13" s="12" t="s">
        <v>614</v>
      </c>
      <c r="E13" s="12">
        <v>30</v>
      </c>
      <c r="F13" s="13">
        <v>0</v>
      </c>
      <c r="G13" s="14">
        <f t="shared" si="0"/>
        <v>0</v>
      </c>
      <c r="H13" s="12" t="s">
        <v>262</v>
      </c>
    </row>
    <row r="15" spans="1:8" ht="27.75" customHeight="1" x14ac:dyDescent="0.35">
      <c r="A15" s="1" t="s">
        <v>615</v>
      </c>
      <c r="B15" s="1"/>
      <c r="C15" s="1"/>
      <c r="D15" s="1"/>
      <c r="E15" s="1"/>
      <c r="F15" s="1"/>
      <c r="G15" s="1"/>
      <c r="H15" s="1"/>
    </row>
  </sheetData>
  <autoFilter ref="A1:H13" xr:uid="{00000000-0009-0000-0000-000007000000}"/>
  <mergeCells count="1">
    <mergeCell ref="A15:H15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4E79"/>
  </sheetPr>
  <dimension ref="A1:I26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1" customWidth="1"/>
    <col min="2" max="2" width="26" customWidth="1"/>
    <col min="3" max="3" width="44" customWidth="1"/>
    <col min="4" max="4" width="20" customWidth="1"/>
    <col min="5" max="5" width="10" customWidth="1"/>
    <col min="6" max="6" width="8" customWidth="1"/>
    <col min="7" max="8" width="12" customWidth="1"/>
    <col min="9" max="9" width="48" customWidth="1"/>
  </cols>
  <sheetData>
    <row r="1" spans="1:9" ht="27.75" customHeight="1" x14ac:dyDescent="0.35">
      <c r="A1" s="11" t="s">
        <v>616</v>
      </c>
      <c r="B1" s="11" t="s">
        <v>617</v>
      </c>
      <c r="C1" s="11" t="s">
        <v>618</v>
      </c>
      <c r="D1" s="11" t="s">
        <v>249</v>
      </c>
      <c r="E1" s="11" t="s">
        <v>385</v>
      </c>
      <c r="F1" s="11" t="s">
        <v>560</v>
      </c>
      <c r="G1" s="11" t="s">
        <v>619</v>
      </c>
      <c r="H1" s="11" t="s">
        <v>254</v>
      </c>
      <c r="I1" s="11" t="s">
        <v>620</v>
      </c>
    </row>
    <row r="2" spans="1:9" x14ac:dyDescent="0.35">
      <c r="A2" s="12" t="s">
        <v>621</v>
      </c>
      <c r="B2" s="12" t="s">
        <v>622</v>
      </c>
      <c r="C2" s="12" t="s">
        <v>623</v>
      </c>
      <c r="D2" s="12" t="s">
        <v>624</v>
      </c>
      <c r="E2" s="12" t="s">
        <v>259</v>
      </c>
      <c r="F2" s="12" t="s">
        <v>567</v>
      </c>
      <c r="G2" s="12" t="s">
        <v>625</v>
      </c>
      <c r="H2" s="12" t="s">
        <v>262</v>
      </c>
      <c r="I2" s="12" t="s">
        <v>626</v>
      </c>
    </row>
    <row r="3" spans="1:9" x14ac:dyDescent="0.35">
      <c r="A3" s="12" t="s">
        <v>627</v>
      </c>
      <c r="B3" s="12" t="s">
        <v>622</v>
      </c>
      <c r="C3" s="12" t="s">
        <v>628</v>
      </c>
      <c r="D3" s="12" t="s">
        <v>629</v>
      </c>
      <c r="E3" s="12" t="s">
        <v>259</v>
      </c>
      <c r="F3" s="12" t="s">
        <v>567</v>
      </c>
      <c r="G3" s="12" t="s">
        <v>625</v>
      </c>
      <c r="H3" s="12" t="s">
        <v>262</v>
      </c>
      <c r="I3" s="12" t="s">
        <v>630</v>
      </c>
    </row>
    <row r="4" spans="1:9" x14ac:dyDescent="0.35">
      <c r="A4" s="12" t="s">
        <v>631</v>
      </c>
      <c r="B4" s="12" t="s">
        <v>632</v>
      </c>
      <c r="C4" s="12" t="s">
        <v>633</v>
      </c>
      <c r="D4" s="12" t="s">
        <v>634</v>
      </c>
      <c r="E4" s="12" t="s">
        <v>259</v>
      </c>
      <c r="F4" s="12" t="s">
        <v>571</v>
      </c>
      <c r="G4" s="12" t="s">
        <v>625</v>
      </c>
      <c r="H4" s="12" t="s">
        <v>262</v>
      </c>
      <c r="I4" s="12" t="s">
        <v>635</v>
      </c>
    </row>
    <row r="5" spans="1:9" x14ac:dyDescent="0.35">
      <c r="A5" s="12" t="s">
        <v>636</v>
      </c>
      <c r="B5" s="12" t="s">
        <v>632</v>
      </c>
      <c r="C5" s="12" t="s">
        <v>637</v>
      </c>
      <c r="D5" s="12" t="s">
        <v>634</v>
      </c>
      <c r="E5" s="12" t="s">
        <v>259</v>
      </c>
      <c r="F5" s="12" t="s">
        <v>575</v>
      </c>
      <c r="G5" s="12" t="s">
        <v>625</v>
      </c>
      <c r="H5" s="12" t="s">
        <v>262</v>
      </c>
      <c r="I5" s="12" t="s">
        <v>638</v>
      </c>
    </row>
    <row r="6" spans="1:9" x14ac:dyDescent="0.35">
      <c r="A6" s="12" t="s">
        <v>639</v>
      </c>
      <c r="B6" s="12" t="s">
        <v>632</v>
      </c>
      <c r="C6" s="12" t="s">
        <v>640</v>
      </c>
      <c r="D6" s="12" t="s">
        <v>634</v>
      </c>
      <c r="E6" s="12" t="s">
        <v>259</v>
      </c>
      <c r="F6" s="12" t="s">
        <v>571</v>
      </c>
      <c r="G6" s="12" t="s">
        <v>625</v>
      </c>
      <c r="H6" s="12" t="s">
        <v>262</v>
      </c>
      <c r="I6" s="12" t="s">
        <v>641</v>
      </c>
    </row>
    <row r="7" spans="1:9" x14ac:dyDescent="0.35">
      <c r="A7" s="12" t="s">
        <v>642</v>
      </c>
      <c r="B7" s="12" t="s">
        <v>643</v>
      </c>
      <c r="C7" s="12" t="s">
        <v>644</v>
      </c>
      <c r="D7" s="12" t="s">
        <v>645</v>
      </c>
      <c r="E7" s="12" t="s">
        <v>259</v>
      </c>
      <c r="F7" s="12" t="s">
        <v>575</v>
      </c>
      <c r="G7" s="12" t="s">
        <v>625</v>
      </c>
      <c r="H7" s="12" t="s">
        <v>262</v>
      </c>
      <c r="I7" s="12" t="s">
        <v>646</v>
      </c>
    </row>
    <row r="8" spans="1:9" x14ac:dyDescent="0.35">
      <c r="A8" s="12" t="s">
        <v>647</v>
      </c>
      <c r="B8" s="12" t="s">
        <v>643</v>
      </c>
      <c r="C8" s="12" t="s">
        <v>648</v>
      </c>
      <c r="D8" s="12" t="s">
        <v>645</v>
      </c>
      <c r="E8" s="12" t="s">
        <v>259</v>
      </c>
      <c r="F8" s="12" t="s">
        <v>579</v>
      </c>
      <c r="G8" s="12" t="s">
        <v>625</v>
      </c>
      <c r="H8" s="12" t="s">
        <v>262</v>
      </c>
      <c r="I8" s="12" t="s">
        <v>649</v>
      </c>
    </row>
    <row r="9" spans="1:9" x14ac:dyDescent="0.35">
      <c r="A9" s="12" t="s">
        <v>650</v>
      </c>
      <c r="B9" s="12" t="s">
        <v>643</v>
      </c>
      <c r="C9" s="12" t="s">
        <v>651</v>
      </c>
      <c r="D9" s="12" t="s">
        <v>645</v>
      </c>
      <c r="E9" s="12" t="s">
        <v>259</v>
      </c>
      <c r="F9" s="12" t="s">
        <v>579</v>
      </c>
      <c r="G9" s="12" t="s">
        <v>625</v>
      </c>
      <c r="H9" s="12" t="s">
        <v>262</v>
      </c>
      <c r="I9" s="12" t="s">
        <v>652</v>
      </c>
    </row>
    <row r="10" spans="1:9" ht="25" x14ac:dyDescent="0.35">
      <c r="A10" s="12" t="s">
        <v>653</v>
      </c>
      <c r="B10" s="12" t="s">
        <v>654</v>
      </c>
      <c r="C10" s="12" t="s">
        <v>655</v>
      </c>
      <c r="D10" s="12" t="s">
        <v>656</v>
      </c>
      <c r="E10" s="12" t="s">
        <v>259</v>
      </c>
      <c r="F10" s="12" t="s">
        <v>583</v>
      </c>
      <c r="G10" s="12" t="s">
        <v>625</v>
      </c>
      <c r="H10" s="12" t="s">
        <v>262</v>
      </c>
      <c r="I10" s="12" t="s">
        <v>657</v>
      </c>
    </row>
    <row r="11" spans="1:9" x14ac:dyDescent="0.35">
      <c r="A11" s="12" t="s">
        <v>658</v>
      </c>
      <c r="B11" s="12" t="s">
        <v>654</v>
      </c>
      <c r="C11" s="12" t="s">
        <v>659</v>
      </c>
      <c r="D11" s="12" t="s">
        <v>660</v>
      </c>
      <c r="E11" s="12" t="s">
        <v>259</v>
      </c>
      <c r="F11" s="12" t="s">
        <v>583</v>
      </c>
      <c r="G11" s="12" t="s">
        <v>625</v>
      </c>
      <c r="H11" s="12" t="s">
        <v>262</v>
      </c>
      <c r="I11" s="12" t="s">
        <v>661</v>
      </c>
    </row>
    <row r="12" spans="1:9" x14ac:dyDescent="0.35">
      <c r="A12" s="12" t="s">
        <v>662</v>
      </c>
      <c r="B12" s="12" t="s">
        <v>663</v>
      </c>
      <c r="C12" s="12" t="s">
        <v>664</v>
      </c>
      <c r="D12" s="12" t="s">
        <v>665</v>
      </c>
      <c r="E12" s="12" t="s">
        <v>259</v>
      </c>
      <c r="F12" s="12" t="s">
        <v>587</v>
      </c>
      <c r="G12" s="12" t="s">
        <v>625</v>
      </c>
      <c r="H12" s="12" t="s">
        <v>262</v>
      </c>
      <c r="I12" s="12" t="s">
        <v>666</v>
      </c>
    </row>
    <row r="13" spans="1:9" x14ac:dyDescent="0.35">
      <c r="A13" s="12" t="s">
        <v>667</v>
      </c>
      <c r="B13" s="12" t="s">
        <v>663</v>
      </c>
      <c r="C13" s="12" t="s">
        <v>668</v>
      </c>
      <c r="D13" s="12" t="s">
        <v>624</v>
      </c>
      <c r="E13" s="12" t="s">
        <v>259</v>
      </c>
      <c r="F13" s="12" t="s">
        <v>587</v>
      </c>
      <c r="G13" s="12" t="s">
        <v>625</v>
      </c>
      <c r="H13" s="12" t="s">
        <v>262</v>
      </c>
      <c r="I13" s="12" t="s">
        <v>669</v>
      </c>
    </row>
    <row r="14" spans="1:9" x14ac:dyDescent="0.35">
      <c r="A14" s="12" t="s">
        <v>670</v>
      </c>
      <c r="B14" s="12" t="s">
        <v>671</v>
      </c>
      <c r="C14" s="12" t="s">
        <v>672</v>
      </c>
      <c r="D14" s="12" t="s">
        <v>660</v>
      </c>
      <c r="E14" s="12" t="s">
        <v>259</v>
      </c>
      <c r="F14" s="12" t="s">
        <v>591</v>
      </c>
      <c r="G14" s="12" t="s">
        <v>625</v>
      </c>
      <c r="H14" s="12" t="s">
        <v>262</v>
      </c>
      <c r="I14" s="12" t="s">
        <v>673</v>
      </c>
    </row>
    <row r="15" spans="1:9" x14ac:dyDescent="0.35">
      <c r="A15" s="12" t="s">
        <v>674</v>
      </c>
      <c r="B15" s="12" t="s">
        <v>675</v>
      </c>
      <c r="C15" s="12" t="s">
        <v>676</v>
      </c>
      <c r="D15" s="12" t="s">
        <v>677</v>
      </c>
      <c r="E15" s="12" t="s">
        <v>259</v>
      </c>
      <c r="F15" s="12" t="s">
        <v>595</v>
      </c>
      <c r="G15" s="12" t="s">
        <v>625</v>
      </c>
      <c r="H15" s="12" t="s">
        <v>262</v>
      </c>
      <c r="I15" s="12" t="s">
        <v>678</v>
      </c>
    </row>
    <row r="16" spans="1:9" x14ac:dyDescent="0.35">
      <c r="A16" s="12" t="s">
        <v>679</v>
      </c>
      <c r="B16" s="12" t="s">
        <v>675</v>
      </c>
      <c r="C16" s="12" t="s">
        <v>680</v>
      </c>
      <c r="D16" s="12" t="s">
        <v>665</v>
      </c>
      <c r="E16" s="12" t="s">
        <v>259</v>
      </c>
      <c r="F16" s="12" t="s">
        <v>595</v>
      </c>
      <c r="G16" s="12" t="s">
        <v>625</v>
      </c>
      <c r="H16" s="12" t="s">
        <v>262</v>
      </c>
      <c r="I16" s="12" t="s">
        <v>681</v>
      </c>
    </row>
    <row r="17" spans="1:9" x14ac:dyDescent="0.35">
      <c r="A17" s="12" t="s">
        <v>682</v>
      </c>
      <c r="B17" s="12" t="s">
        <v>683</v>
      </c>
      <c r="C17" s="12" t="s">
        <v>684</v>
      </c>
      <c r="D17" s="12" t="s">
        <v>685</v>
      </c>
      <c r="E17" s="12" t="s">
        <v>282</v>
      </c>
      <c r="F17" s="12" t="s">
        <v>599</v>
      </c>
      <c r="G17" s="12" t="s">
        <v>625</v>
      </c>
      <c r="H17" s="12" t="s">
        <v>262</v>
      </c>
      <c r="I17" s="12" t="s">
        <v>686</v>
      </c>
    </row>
    <row r="18" spans="1:9" x14ac:dyDescent="0.35">
      <c r="A18" s="12" t="s">
        <v>687</v>
      </c>
      <c r="B18" s="12" t="s">
        <v>683</v>
      </c>
      <c r="C18" s="12" t="s">
        <v>688</v>
      </c>
      <c r="D18" s="12" t="s">
        <v>689</v>
      </c>
      <c r="E18" s="12" t="s">
        <v>282</v>
      </c>
      <c r="F18" s="12" t="s">
        <v>599</v>
      </c>
      <c r="G18" s="12" t="s">
        <v>625</v>
      </c>
      <c r="H18" s="12" t="s">
        <v>262</v>
      </c>
      <c r="I18" s="12" t="s">
        <v>690</v>
      </c>
    </row>
    <row r="19" spans="1:9" x14ac:dyDescent="0.35">
      <c r="A19" s="12" t="s">
        <v>691</v>
      </c>
      <c r="B19" s="12" t="s">
        <v>692</v>
      </c>
      <c r="C19" s="12" t="s">
        <v>693</v>
      </c>
      <c r="D19" s="12" t="s">
        <v>694</v>
      </c>
      <c r="E19" s="12" t="s">
        <v>259</v>
      </c>
      <c r="F19" s="12" t="s">
        <v>603</v>
      </c>
      <c r="G19" s="12" t="s">
        <v>625</v>
      </c>
      <c r="H19" s="12" t="s">
        <v>262</v>
      </c>
      <c r="I19" s="12" t="s">
        <v>695</v>
      </c>
    </row>
    <row r="20" spans="1:9" x14ac:dyDescent="0.35">
      <c r="A20" s="12" t="s">
        <v>696</v>
      </c>
      <c r="B20" s="12" t="s">
        <v>692</v>
      </c>
      <c r="C20" s="12" t="s">
        <v>697</v>
      </c>
      <c r="D20" s="12" t="s">
        <v>694</v>
      </c>
      <c r="E20" s="12" t="s">
        <v>259</v>
      </c>
      <c r="F20" s="12" t="s">
        <v>603</v>
      </c>
      <c r="G20" s="12" t="s">
        <v>625</v>
      </c>
      <c r="H20" s="12" t="s">
        <v>262</v>
      </c>
      <c r="I20" s="12" t="s">
        <v>698</v>
      </c>
    </row>
    <row r="21" spans="1:9" x14ac:dyDescent="0.35">
      <c r="A21" s="12" t="s">
        <v>699</v>
      </c>
      <c r="B21" s="12" t="s">
        <v>700</v>
      </c>
      <c r="C21" s="12" t="s">
        <v>701</v>
      </c>
      <c r="D21" s="12" t="s">
        <v>702</v>
      </c>
      <c r="E21" s="12" t="s">
        <v>259</v>
      </c>
      <c r="F21" s="12" t="s">
        <v>607</v>
      </c>
      <c r="G21" s="12" t="s">
        <v>625</v>
      </c>
      <c r="H21" s="12" t="s">
        <v>262</v>
      </c>
      <c r="I21" s="12" t="s">
        <v>703</v>
      </c>
    </row>
    <row r="22" spans="1:9" x14ac:dyDescent="0.35">
      <c r="A22" s="12" t="s">
        <v>704</v>
      </c>
      <c r="B22" s="12" t="s">
        <v>700</v>
      </c>
      <c r="C22" s="12" t="s">
        <v>705</v>
      </c>
      <c r="D22" s="12" t="s">
        <v>702</v>
      </c>
      <c r="E22" s="12" t="s">
        <v>282</v>
      </c>
      <c r="F22" s="12" t="s">
        <v>607</v>
      </c>
      <c r="G22" s="12" t="s">
        <v>625</v>
      </c>
      <c r="H22" s="12" t="s">
        <v>262</v>
      </c>
      <c r="I22" s="12" t="s">
        <v>706</v>
      </c>
    </row>
    <row r="23" spans="1:9" x14ac:dyDescent="0.35">
      <c r="A23" s="12" t="s">
        <v>707</v>
      </c>
      <c r="B23" s="12" t="s">
        <v>708</v>
      </c>
      <c r="C23" s="12" t="s">
        <v>709</v>
      </c>
      <c r="D23" s="12" t="s">
        <v>710</v>
      </c>
      <c r="E23" s="12" t="s">
        <v>282</v>
      </c>
      <c r="F23" s="12" t="s">
        <v>611</v>
      </c>
      <c r="G23" s="12" t="s">
        <v>625</v>
      </c>
      <c r="H23" s="12" t="s">
        <v>262</v>
      </c>
      <c r="I23" s="12" t="s">
        <v>711</v>
      </c>
    </row>
    <row r="24" spans="1:9" x14ac:dyDescent="0.35">
      <c r="A24" s="12" t="s">
        <v>712</v>
      </c>
      <c r="B24" s="12" t="s">
        <v>708</v>
      </c>
      <c r="C24" s="12" t="s">
        <v>713</v>
      </c>
      <c r="D24" s="12" t="s">
        <v>710</v>
      </c>
      <c r="E24" s="12" t="s">
        <v>282</v>
      </c>
      <c r="F24" s="12" t="s">
        <v>611</v>
      </c>
      <c r="G24" s="12" t="s">
        <v>625</v>
      </c>
      <c r="H24" s="12" t="s">
        <v>262</v>
      </c>
      <c r="I24" s="12" t="s">
        <v>714</v>
      </c>
    </row>
    <row r="25" spans="1:9" x14ac:dyDescent="0.35">
      <c r="A25" s="12" t="s">
        <v>715</v>
      </c>
      <c r="B25" s="12" t="s">
        <v>716</v>
      </c>
      <c r="C25" s="12" t="s">
        <v>717</v>
      </c>
      <c r="D25" s="12" t="s">
        <v>718</v>
      </c>
      <c r="E25" s="12" t="s">
        <v>332</v>
      </c>
      <c r="F25" s="12" t="s">
        <v>719</v>
      </c>
      <c r="G25" s="12" t="s">
        <v>625</v>
      </c>
      <c r="H25" s="12" t="s">
        <v>720</v>
      </c>
      <c r="I25" s="12" t="s">
        <v>721</v>
      </c>
    </row>
    <row r="26" spans="1:9" x14ac:dyDescent="0.35">
      <c r="A26" s="12" t="s">
        <v>722</v>
      </c>
      <c r="B26" s="12" t="s">
        <v>716</v>
      </c>
      <c r="C26" s="12" t="s">
        <v>723</v>
      </c>
      <c r="D26" s="12" t="s">
        <v>724</v>
      </c>
      <c r="E26" s="12" t="s">
        <v>332</v>
      </c>
      <c r="F26" s="12" t="s">
        <v>725</v>
      </c>
      <c r="G26" s="12" t="s">
        <v>625</v>
      </c>
      <c r="H26" s="12" t="s">
        <v>720</v>
      </c>
      <c r="I26" s="12" t="s">
        <v>726</v>
      </c>
    </row>
  </sheetData>
  <autoFilter ref="A1:I26" xr:uid="{00000000-0009-0000-0000-000008000000}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4E79"/>
  </sheetPr>
  <dimension ref="A1:I34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20" customWidth="1"/>
    <col min="3" max="3" width="30" customWidth="1"/>
    <col min="4" max="4" width="42" customWidth="1"/>
    <col min="5" max="5" width="46" customWidth="1"/>
    <col min="6" max="6" width="10" customWidth="1"/>
    <col min="7" max="7" width="8" customWidth="1"/>
    <col min="8" max="9" width="12" customWidth="1"/>
  </cols>
  <sheetData>
    <row r="1" spans="1:9" ht="27.75" customHeight="1" x14ac:dyDescent="0.35">
      <c r="A1" s="11" t="s">
        <v>727</v>
      </c>
      <c r="B1" s="11" t="s">
        <v>617</v>
      </c>
      <c r="C1" s="11" t="s">
        <v>618</v>
      </c>
      <c r="D1" s="11" t="s">
        <v>728</v>
      </c>
      <c r="E1" s="11" t="s">
        <v>729</v>
      </c>
      <c r="F1" s="11" t="s">
        <v>730</v>
      </c>
      <c r="G1" s="11" t="s">
        <v>560</v>
      </c>
      <c r="H1" s="11" t="s">
        <v>731</v>
      </c>
      <c r="I1" s="11" t="s">
        <v>254</v>
      </c>
    </row>
    <row r="2" spans="1:9" ht="25" x14ac:dyDescent="0.35">
      <c r="A2" s="12" t="s">
        <v>732</v>
      </c>
      <c r="B2" s="12" t="s">
        <v>733</v>
      </c>
      <c r="C2" s="12" t="s">
        <v>621</v>
      </c>
      <c r="D2" s="12" t="s">
        <v>734</v>
      </c>
      <c r="E2" s="12" t="s">
        <v>735</v>
      </c>
      <c r="F2" s="13">
        <v>4</v>
      </c>
      <c r="G2" s="12" t="s">
        <v>567</v>
      </c>
      <c r="H2" s="12" t="s">
        <v>625</v>
      </c>
      <c r="I2" s="12" t="s">
        <v>262</v>
      </c>
    </row>
    <row r="3" spans="1:9" ht="25" x14ac:dyDescent="0.35">
      <c r="A3" s="12" t="s">
        <v>736</v>
      </c>
      <c r="B3" s="12" t="s">
        <v>733</v>
      </c>
      <c r="C3" s="12" t="s">
        <v>621</v>
      </c>
      <c r="D3" s="12" t="s">
        <v>737</v>
      </c>
      <c r="E3" s="12" t="s">
        <v>738</v>
      </c>
      <c r="F3" s="13">
        <v>4</v>
      </c>
      <c r="G3" s="12" t="s">
        <v>567</v>
      </c>
      <c r="H3" s="12" t="s">
        <v>625</v>
      </c>
      <c r="I3" s="12" t="s">
        <v>262</v>
      </c>
    </row>
    <row r="4" spans="1:9" x14ac:dyDescent="0.35">
      <c r="A4" s="12" t="s">
        <v>739</v>
      </c>
      <c r="B4" s="12" t="s">
        <v>733</v>
      </c>
      <c r="C4" s="12" t="s">
        <v>621</v>
      </c>
      <c r="D4" s="12" t="s">
        <v>740</v>
      </c>
      <c r="E4" s="12" t="s">
        <v>741</v>
      </c>
      <c r="F4" s="13">
        <v>3</v>
      </c>
      <c r="G4" s="12" t="s">
        <v>567</v>
      </c>
      <c r="H4" s="12" t="s">
        <v>625</v>
      </c>
      <c r="I4" s="12" t="s">
        <v>262</v>
      </c>
    </row>
    <row r="5" spans="1:9" ht="25" x14ac:dyDescent="0.35">
      <c r="A5" s="12" t="s">
        <v>742</v>
      </c>
      <c r="B5" s="12" t="s">
        <v>733</v>
      </c>
      <c r="C5" s="12" t="s">
        <v>627</v>
      </c>
      <c r="D5" s="12" t="s">
        <v>743</v>
      </c>
      <c r="E5" s="12" t="s">
        <v>744</v>
      </c>
      <c r="F5" s="13">
        <v>6</v>
      </c>
      <c r="G5" s="12" t="s">
        <v>567</v>
      </c>
      <c r="H5" s="12" t="s">
        <v>625</v>
      </c>
      <c r="I5" s="12" t="s">
        <v>262</v>
      </c>
    </row>
    <row r="6" spans="1:9" x14ac:dyDescent="0.35">
      <c r="A6" s="12" t="s">
        <v>745</v>
      </c>
      <c r="B6" s="12" t="s">
        <v>733</v>
      </c>
      <c r="C6" s="12" t="s">
        <v>627</v>
      </c>
      <c r="D6" s="12" t="s">
        <v>746</v>
      </c>
      <c r="E6" s="12" t="s">
        <v>747</v>
      </c>
      <c r="F6" s="13">
        <v>2</v>
      </c>
      <c r="G6" s="12" t="s">
        <v>567</v>
      </c>
      <c r="H6" s="12" t="s">
        <v>625</v>
      </c>
      <c r="I6" s="12" t="s">
        <v>262</v>
      </c>
    </row>
    <row r="7" spans="1:9" x14ac:dyDescent="0.35">
      <c r="A7" s="12" t="s">
        <v>748</v>
      </c>
      <c r="B7" s="12" t="s">
        <v>749</v>
      </c>
      <c r="C7" s="12" t="s">
        <v>631</v>
      </c>
      <c r="D7" s="12" t="s">
        <v>750</v>
      </c>
      <c r="E7" s="12" t="s">
        <v>751</v>
      </c>
      <c r="F7" s="13">
        <v>5</v>
      </c>
      <c r="G7" s="12" t="s">
        <v>571</v>
      </c>
      <c r="H7" s="12" t="s">
        <v>625</v>
      </c>
      <c r="I7" s="12" t="s">
        <v>262</v>
      </c>
    </row>
    <row r="8" spans="1:9" ht="25" x14ac:dyDescent="0.35">
      <c r="A8" s="12" t="s">
        <v>752</v>
      </c>
      <c r="B8" s="12" t="s">
        <v>749</v>
      </c>
      <c r="C8" s="12" t="s">
        <v>631</v>
      </c>
      <c r="D8" s="12" t="s">
        <v>753</v>
      </c>
      <c r="E8" s="12" t="s">
        <v>754</v>
      </c>
      <c r="F8" s="13">
        <v>8</v>
      </c>
      <c r="G8" s="12" t="s">
        <v>571</v>
      </c>
      <c r="H8" s="12" t="s">
        <v>625</v>
      </c>
      <c r="I8" s="12" t="s">
        <v>262</v>
      </c>
    </row>
    <row r="9" spans="1:9" x14ac:dyDescent="0.35">
      <c r="A9" s="12" t="s">
        <v>755</v>
      </c>
      <c r="B9" s="12" t="s">
        <v>749</v>
      </c>
      <c r="C9" s="12" t="s">
        <v>639</v>
      </c>
      <c r="D9" s="12" t="s">
        <v>756</v>
      </c>
      <c r="E9" s="12" t="s">
        <v>757</v>
      </c>
      <c r="F9" s="13">
        <v>8</v>
      </c>
      <c r="G9" s="12" t="s">
        <v>571</v>
      </c>
      <c r="H9" s="12" t="s">
        <v>625</v>
      </c>
      <c r="I9" s="12" t="s">
        <v>262</v>
      </c>
    </row>
    <row r="10" spans="1:9" x14ac:dyDescent="0.35">
      <c r="A10" s="12" t="s">
        <v>758</v>
      </c>
      <c r="B10" s="12" t="s">
        <v>749</v>
      </c>
      <c r="C10" s="12" t="s">
        <v>636</v>
      </c>
      <c r="D10" s="12" t="s">
        <v>759</v>
      </c>
      <c r="E10" s="12" t="s">
        <v>760</v>
      </c>
      <c r="F10" s="13">
        <v>10</v>
      </c>
      <c r="G10" s="12" t="s">
        <v>575</v>
      </c>
      <c r="H10" s="12" t="s">
        <v>625</v>
      </c>
      <c r="I10" s="12" t="s">
        <v>262</v>
      </c>
    </row>
    <row r="11" spans="1:9" ht="25" x14ac:dyDescent="0.35">
      <c r="A11" s="12" t="s">
        <v>761</v>
      </c>
      <c r="B11" s="12" t="s">
        <v>749</v>
      </c>
      <c r="C11" s="12" t="s">
        <v>636</v>
      </c>
      <c r="D11" s="12" t="s">
        <v>762</v>
      </c>
      <c r="E11" s="12" t="s">
        <v>763</v>
      </c>
      <c r="F11" s="13">
        <v>6</v>
      </c>
      <c r="G11" s="12" t="s">
        <v>575</v>
      </c>
      <c r="H11" s="12" t="s">
        <v>625</v>
      </c>
      <c r="I11" s="12" t="s">
        <v>262</v>
      </c>
    </row>
    <row r="12" spans="1:9" x14ac:dyDescent="0.35">
      <c r="A12" s="12" t="s">
        <v>764</v>
      </c>
      <c r="B12" s="12" t="s">
        <v>765</v>
      </c>
      <c r="C12" s="12" t="s">
        <v>642</v>
      </c>
      <c r="D12" s="12" t="s">
        <v>766</v>
      </c>
      <c r="E12" s="12" t="s">
        <v>767</v>
      </c>
      <c r="F12" s="13">
        <v>10</v>
      </c>
      <c r="G12" s="12" t="s">
        <v>575</v>
      </c>
      <c r="H12" s="12" t="s">
        <v>625</v>
      </c>
      <c r="I12" s="12" t="s">
        <v>262</v>
      </c>
    </row>
    <row r="13" spans="1:9" x14ac:dyDescent="0.35">
      <c r="A13" s="12" t="s">
        <v>768</v>
      </c>
      <c r="B13" s="12" t="s">
        <v>765</v>
      </c>
      <c r="C13" s="12" t="s">
        <v>647</v>
      </c>
      <c r="D13" s="12" t="s">
        <v>769</v>
      </c>
      <c r="E13" s="12" t="s">
        <v>770</v>
      </c>
      <c r="F13" s="13">
        <v>10</v>
      </c>
      <c r="G13" s="12" t="s">
        <v>579</v>
      </c>
      <c r="H13" s="12" t="s">
        <v>625</v>
      </c>
      <c r="I13" s="12" t="s">
        <v>262</v>
      </c>
    </row>
    <row r="14" spans="1:9" x14ac:dyDescent="0.35">
      <c r="A14" s="12" t="s">
        <v>771</v>
      </c>
      <c r="B14" s="12" t="s">
        <v>765</v>
      </c>
      <c r="C14" s="12" t="s">
        <v>650</v>
      </c>
      <c r="D14" s="12" t="s">
        <v>772</v>
      </c>
      <c r="E14" s="12" t="s">
        <v>773</v>
      </c>
      <c r="F14" s="13">
        <v>6</v>
      </c>
      <c r="G14" s="12" t="s">
        <v>579</v>
      </c>
      <c r="H14" s="12" t="s">
        <v>625</v>
      </c>
      <c r="I14" s="12" t="s">
        <v>262</v>
      </c>
    </row>
    <row r="15" spans="1:9" x14ac:dyDescent="0.35">
      <c r="A15" s="12" t="s">
        <v>774</v>
      </c>
      <c r="B15" s="12" t="s">
        <v>775</v>
      </c>
      <c r="C15" s="12" t="s">
        <v>653</v>
      </c>
      <c r="D15" s="12" t="s">
        <v>776</v>
      </c>
      <c r="E15" s="12" t="s">
        <v>777</v>
      </c>
      <c r="F15" s="13">
        <v>10</v>
      </c>
      <c r="G15" s="12" t="s">
        <v>583</v>
      </c>
      <c r="H15" s="12" t="s">
        <v>625</v>
      </c>
      <c r="I15" s="12" t="s">
        <v>262</v>
      </c>
    </row>
    <row r="16" spans="1:9" x14ac:dyDescent="0.35">
      <c r="A16" s="12" t="s">
        <v>778</v>
      </c>
      <c r="B16" s="12" t="s">
        <v>775</v>
      </c>
      <c r="C16" s="12" t="s">
        <v>658</v>
      </c>
      <c r="D16" s="12" t="s">
        <v>779</v>
      </c>
      <c r="E16" s="12" t="s">
        <v>780</v>
      </c>
      <c r="F16" s="13">
        <v>6</v>
      </c>
      <c r="G16" s="12" t="s">
        <v>583</v>
      </c>
      <c r="H16" s="12" t="s">
        <v>625</v>
      </c>
      <c r="I16" s="12" t="s">
        <v>262</v>
      </c>
    </row>
    <row r="17" spans="1:9" x14ac:dyDescent="0.35">
      <c r="A17" s="12" t="s">
        <v>781</v>
      </c>
      <c r="B17" s="12" t="s">
        <v>775</v>
      </c>
      <c r="C17" s="12" t="s">
        <v>658</v>
      </c>
      <c r="D17" s="12" t="s">
        <v>782</v>
      </c>
      <c r="E17" s="12" t="s">
        <v>783</v>
      </c>
      <c r="F17" s="13">
        <v>8</v>
      </c>
      <c r="G17" s="12" t="s">
        <v>583</v>
      </c>
      <c r="H17" s="12" t="s">
        <v>625</v>
      </c>
      <c r="I17" s="12" t="s">
        <v>262</v>
      </c>
    </row>
    <row r="18" spans="1:9" x14ac:dyDescent="0.35">
      <c r="A18" s="12" t="s">
        <v>784</v>
      </c>
      <c r="B18" s="12" t="s">
        <v>785</v>
      </c>
      <c r="C18" s="12" t="s">
        <v>662</v>
      </c>
      <c r="D18" s="12" t="s">
        <v>786</v>
      </c>
      <c r="E18" s="12" t="s">
        <v>787</v>
      </c>
      <c r="F18" s="13">
        <v>10</v>
      </c>
      <c r="G18" s="12" t="s">
        <v>587</v>
      </c>
      <c r="H18" s="12" t="s">
        <v>625</v>
      </c>
      <c r="I18" s="12" t="s">
        <v>262</v>
      </c>
    </row>
    <row r="19" spans="1:9" ht="25" x14ac:dyDescent="0.35">
      <c r="A19" s="12" t="s">
        <v>788</v>
      </c>
      <c r="B19" s="12" t="s">
        <v>785</v>
      </c>
      <c r="C19" s="12" t="s">
        <v>667</v>
      </c>
      <c r="D19" s="12" t="s">
        <v>463</v>
      </c>
      <c r="E19" s="12" t="s">
        <v>789</v>
      </c>
      <c r="F19" s="13">
        <v>6</v>
      </c>
      <c r="G19" s="12" t="s">
        <v>587</v>
      </c>
      <c r="H19" s="12" t="s">
        <v>625</v>
      </c>
      <c r="I19" s="12" t="s">
        <v>262</v>
      </c>
    </row>
    <row r="20" spans="1:9" x14ac:dyDescent="0.35">
      <c r="A20" s="12" t="s">
        <v>790</v>
      </c>
      <c r="B20" s="12" t="s">
        <v>791</v>
      </c>
      <c r="C20" s="12" t="s">
        <v>670</v>
      </c>
      <c r="D20" s="12" t="s">
        <v>792</v>
      </c>
      <c r="E20" s="12" t="s">
        <v>793</v>
      </c>
      <c r="F20" s="13">
        <v>6</v>
      </c>
      <c r="G20" s="12" t="s">
        <v>591</v>
      </c>
      <c r="H20" s="12" t="s">
        <v>625</v>
      </c>
      <c r="I20" s="12" t="s">
        <v>262</v>
      </c>
    </row>
    <row r="21" spans="1:9" x14ac:dyDescent="0.35">
      <c r="A21" s="12" t="s">
        <v>794</v>
      </c>
      <c r="B21" s="12" t="s">
        <v>791</v>
      </c>
      <c r="C21" s="12" t="s">
        <v>670</v>
      </c>
      <c r="D21" s="12" t="s">
        <v>795</v>
      </c>
      <c r="E21" s="12" t="s">
        <v>796</v>
      </c>
      <c r="F21" s="13">
        <v>10</v>
      </c>
      <c r="G21" s="12" t="s">
        <v>591</v>
      </c>
      <c r="H21" s="12" t="s">
        <v>625</v>
      </c>
      <c r="I21" s="12" t="s">
        <v>262</v>
      </c>
    </row>
    <row r="22" spans="1:9" x14ac:dyDescent="0.35">
      <c r="A22" s="12" t="s">
        <v>797</v>
      </c>
      <c r="B22" s="12" t="s">
        <v>791</v>
      </c>
      <c r="C22" s="12" t="s">
        <v>670</v>
      </c>
      <c r="D22" s="12" t="s">
        <v>798</v>
      </c>
      <c r="E22" s="12" t="s">
        <v>799</v>
      </c>
      <c r="F22" s="13">
        <v>8</v>
      </c>
      <c r="G22" s="12" t="s">
        <v>591</v>
      </c>
      <c r="H22" s="12" t="s">
        <v>625</v>
      </c>
      <c r="I22" s="12" t="s">
        <v>262</v>
      </c>
    </row>
    <row r="23" spans="1:9" x14ac:dyDescent="0.35">
      <c r="A23" s="12" t="s">
        <v>800</v>
      </c>
      <c r="B23" s="12" t="s">
        <v>801</v>
      </c>
      <c r="C23" s="12" t="s">
        <v>674</v>
      </c>
      <c r="D23" s="12" t="s">
        <v>802</v>
      </c>
      <c r="E23" s="12" t="s">
        <v>803</v>
      </c>
      <c r="F23" s="13">
        <v>8</v>
      </c>
      <c r="G23" s="12" t="s">
        <v>595</v>
      </c>
      <c r="H23" s="12" t="s">
        <v>625</v>
      </c>
      <c r="I23" s="12" t="s">
        <v>262</v>
      </c>
    </row>
    <row r="24" spans="1:9" x14ac:dyDescent="0.35">
      <c r="A24" s="12" t="s">
        <v>804</v>
      </c>
      <c r="B24" s="12" t="s">
        <v>801</v>
      </c>
      <c r="C24" s="12" t="s">
        <v>679</v>
      </c>
      <c r="D24" s="12" t="s">
        <v>805</v>
      </c>
      <c r="E24" s="12" t="s">
        <v>806</v>
      </c>
      <c r="F24" s="13">
        <v>6</v>
      </c>
      <c r="G24" s="12" t="s">
        <v>595</v>
      </c>
      <c r="H24" s="12" t="s">
        <v>625</v>
      </c>
      <c r="I24" s="12" t="s">
        <v>262</v>
      </c>
    </row>
    <row r="25" spans="1:9" x14ac:dyDescent="0.35">
      <c r="A25" s="12" t="s">
        <v>807</v>
      </c>
      <c r="B25" s="12" t="s">
        <v>808</v>
      </c>
      <c r="C25" s="12" t="s">
        <v>682</v>
      </c>
      <c r="D25" s="12" t="s">
        <v>809</v>
      </c>
      <c r="E25" s="12" t="s">
        <v>810</v>
      </c>
      <c r="F25" s="13">
        <v>8</v>
      </c>
      <c r="G25" s="12" t="s">
        <v>599</v>
      </c>
      <c r="H25" s="12" t="s">
        <v>625</v>
      </c>
      <c r="I25" s="12" t="s">
        <v>262</v>
      </c>
    </row>
    <row r="26" spans="1:9" x14ac:dyDescent="0.35">
      <c r="A26" s="12" t="s">
        <v>811</v>
      </c>
      <c r="B26" s="12" t="s">
        <v>808</v>
      </c>
      <c r="C26" s="12" t="s">
        <v>687</v>
      </c>
      <c r="D26" s="12" t="s">
        <v>326</v>
      </c>
      <c r="E26" s="12" t="s">
        <v>812</v>
      </c>
      <c r="F26" s="13">
        <v>8</v>
      </c>
      <c r="G26" s="12" t="s">
        <v>599</v>
      </c>
      <c r="H26" s="12" t="s">
        <v>625</v>
      </c>
      <c r="I26" s="12" t="s">
        <v>262</v>
      </c>
    </row>
    <row r="27" spans="1:9" ht="25" x14ac:dyDescent="0.35">
      <c r="A27" s="12" t="s">
        <v>813</v>
      </c>
      <c r="B27" s="12" t="s">
        <v>814</v>
      </c>
      <c r="C27" s="12" t="s">
        <v>691</v>
      </c>
      <c r="D27" s="12" t="s">
        <v>815</v>
      </c>
      <c r="E27" s="12" t="s">
        <v>816</v>
      </c>
      <c r="F27" s="13">
        <v>8</v>
      </c>
      <c r="G27" s="12" t="s">
        <v>603</v>
      </c>
      <c r="H27" s="12" t="s">
        <v>625</v>
      </c>
      <c r="I27" s="12" t="s">
        <v>262</v>
      </c>
    </row>
    <row r="28" spans="1:9" x14ac:dyDescent="0.35">
      <c r="A28" s="12" t="s">
        <v>817</v>
      </c>
      <c r="B28" s="12" t="s">
        <v>814</v>
      </c>
      <c r="C28" s="12" t="s">
        <v>696</v>
      </c>
      <c r="D28" s="12" t="s">
        <v>818</v>
      </c>
      <c r="E28" s="12" t="s">
        <v>819</v>
      </c>
      <c r="F28" s="13">
        <v>12</v>
      </c>
      <c r="G28" s="12" t="s">
        <v>603</v>
      </c>
      <c r="H28" s="12" t="s">
        <v>625</v>
      </c>
      <c r="I28" s="12" t="s">
        <v>262</v>
      </c>
    </row>
    <row r="29" spans="1:9" x14ac:dyDescent="0.35">
      <c r="A29" s="12" t="s">
        <v>820</v>
      </c>
      <c r="B29" s="12" t="s">
        <v>821</v>
      </c>
      <c r="C29" s="12" t="s">
        <v>699</v>
      </c>
      <c r="D29" s="12" t="s">
        <v>822</v>
      </c>
      <c r="E29" s="12" t="s">
        <v>823</v>
      </c>
      <c r="F29" s="13">
        <v>14</v>
      </c>
      <c r="G29" s="12" t="s">
        <v>607</v>
      </c>
      <c r="H29" s="12" t="s">
        <v>625</v>
      </c>
      <c r="I29" s="12" t="s">
        <v>262</v>
      </c>
    </row>
    <row r="30" spans="1:9" x14ac:dyDescent="0.35">
      <c r="A30" s="12" t="s">
        <v>824</v>
      </c>
      <c r="B30" s="12" t="s">
        <v>821</v>
      </c>
      <c r="C30" s="12" t="s">
        <v>704</v>
      </c>
      <c r="D30" s="12" t="s">
        <v>825</v>
      </c>
      <c r="E30" s="12" t="s">
        <v>826</v>
      </c>
      <c r="F30" s="13">
        <v>8</v>
      </c>
      <c r="G30" s="12" t="s">
        <v>607</v>
      </c>
      <c r="H30" s="12" t="s">
        <v>625</v>
      </c>
      <c r="I30" s="12" t="s">
        <v>262</v>
      </c>
    </row>
    <row r="31" spans="1:9" x14ac:dyDescent="0.35">
      <c r="A31" s="12" t="s">
        <v>827</v>
      </c>
      <c r="B31" s="12" t="s">
        <v>828</v>
      </c>
      <c r="C31" s="12" t="s">
        <v>829</v>
      </c>
      <c r="D31" s="12" t="s">
        <v>830</v>
      </c>
      <c r="E31" s="12" t="s">
        <v>831</v>
      </c>
      <c r="F31" s="13">
        <v>14</v>
      </c>
      <c r="G31" s="12" t="s">
        <v>611</v>
      </c>
      <c r="H31" s="12" t="s">
        <v>625</v>
      </c>
      <c r="I31" s="12" t="s">
        <v>262</v>
      </c>
    </row>
    <row r="32" spans="1:9" x14ac:dyDescent="0.35">
      <c r="A32" s="12"/>
      <c r="B32" s="12"/>
      <c r="C32" s="12"/>
      <c r="D32" s="12" t="s">
        <v>832</v>
      </c>
      <c r="E32" s="12"/>
      <c r="F32" s="13">
        <f>SUM(F2:F31)</f>
        <v>232</v>
      </c>
      <c r="G32" s="12"/>
      <c r="H32" s="12"/>
      <c r="I32" s="12"/>
    </row>
    <row r="34" spans="1:9" ht="27.75" customHeight="1" x14ac:dyDescent="0.35">
      <c r="A34" s="1" t="s">
        <v>833</v>
      </c>
      <c r="B34" s="1"/>
      <c r="C34" s="1"/>
      <c r="D34" s="1"/>
      <c r="E34" s="1"/>
      <c r="F34" s="1"/>
      <c r="G34" s="1"/>
      <c r="H34" s="1"/>
      <c r="I34" s="1"/>
    </row>
  </sheetData>
  <autoFilter ref="A1:I32" xr:uid="{00000000-0009-0000-0000-000009000000}"/>
  <mergeCells count="1">
    <mergeCell ref="A34:I34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4E79"/>
  </sheetPr>
  <dimension ref="A1:G23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16" customWidth="1"/>
    <col min="3" max="3" width="26" customWidth="1"/>
    <col min="4" max="4" width="40" customWidth="1"/>
    <col min="5" max="5" width="66" customWidth="1"/>
    <col min="6" max="6" width="30" customWidth="1"/>
    <col min="7" max="7" width="12" customWidth="1"/>
  </cols>
  <sheetData>
    <row r="1" spans="1:7" ht="27.75" customHeight="1" x14ac:dyDescent="0.35">
      <c r="A1" s="11" t="s">
        <v>834</v>
      </c>
      <c r="B1" s="11" t="s">
        <v>835</v>
      </c>
      <c r="C1" s="11" t="s">
        <v>836</v>
      </c>
      <c r="D1" s="11" t="s">
        <v>837</v>
      </c>
      <c r="E1" s="11" t="s">
        <v>838</v>
      </c>
      <c r="F1" s="11" t="s">
        <v>475</v>
      </c>
      <c r="G1" s="11" t="s">
        <v>254</v>
      </c>
    </row>
    <row r="2" spans="1:7" x14ac:dyDescent="0.35">
      <c r="A2" s="12" t="s">
        <v>839</v>
      </c>
      <c r="B2" s="12" t="s">
        <v>840</v>
      </c>
      <c r="C2" s="12" t="s">
        <v>841</v>
      </c>
      <c r="D2" s="12" t="s">
        <v>842</v>
      </c>
      <c r="E2" s="12" t="s">
        <v>843</v>
      </c>
      <c r="F2" s="12" t="s">
        <v>388</v>
      </c>
      <c r="G2" s="12" t="s">
        <v>262</v>
      </c>
    </row>
    <row r="3" spans="1:7" x14ac:dyDescent="0.35">
      <c r="A3" s="12" t="s">
        <v>844</v>
      </c>
      <c r="B3" s="12" t="s">
        <v>840</v>
      </c>
      <c r="C3" s="12" t="s">
        <v>845</v>
      </c>
      <c r="D3" s="12" t="s">
        <v>846</v>
      </c>
      <c r="E3" s="12" t="s">
        <v>847</v>
      </c>
      <c r="F3" s="12" t="s">
        <v>388</v>
      </c>
      <c r="G3" s="12" t="s">
        <v>262</v>
      </c>
    </row>
    <row r="4" spans="1:7" x14ac:dyDescent="0.35">
      <c r="A4" s="12" t="s">
        <v>848</v>
      </c>
      <c r="B4" s="12" t="s">
        <v>840</v>
      </c>
      <c r="C4" s="12" t="s">
        <v>849</v>
      </c>
      <c r="D4" s="12" t="s">
        <v>850</v>
      </c>
      <c r="E4" s="12" t="s">
        <v>851</v>
      </c>
      <c r="F4" s="12" t="s">
        <v>388</v>
      </c>
      <c r="G4" s="12" t="s">
        <v>262</v>
      </c>
    </row>
    <row r="5" spans="1:7" x14ac:dyDescent="0.35">
      <c r="A5" s="12" t="s">
        <v>852</v>
      </c>
      <c r="B5" s="12" t="s">
        <v>840</v>
      </c>
      <c r="C5" s="12" t="s">
        <v>853</v>
      </c>
      <c r="D5" s="12" t="s">
        <v>854</v>
      </c>
      <c r="E5" s="12" t="s">
        <v>855</v>
      </c>
      <c r="F5" s="12" t="s">
        <v>856</v>
      </c>
      <c r="G5" s="12" t="s">
        <v>262</v>
      </c>
    </row>
    <row r="6" spans="1:7" x14ac:dyDescent="0.35">
      <c r="A6" s="12" t="s">
        <v>857</v>
      </c>
      <c r="B6" s="12" t="s">
        <v>858</v>
      </c>
      <c r="C6" s="12" t="s">
        <v>859</v>
      </c>
      <c r="D6" s="12" t="s">
        <v>860</v>
      </c>
      <c r="E6" s="12" t="s">
        <v>861</v>
      </c>
      <c r="F6" s="12" t="s">
        <v>840</v>
      </c>
      <c r="G6" s="12" t="s">
        <v>262</v>
      </c>
    </row>
    <row r="7" spans="1:7" ht="25" x14ac:dyDescent="0.35">
      <c r="A7" s="12" t="s">
        <v>862</v>
      </c>
      <c r="B7" s="12" t="s">
        <v>858</v>
      </c>
      <c r="C7" s="12" t="s">
        <v>863</v>
      </c>
      <c r="D7" s="12" t="s">
        <v>864</v>
      </c>
      <c r="E7" s="12" t="s">
        <v>865</v>
      </c>
      <c r="F7" s="12" t="s">
        <v>840</v>
      </c>
      <c r="G7" s="12" t="s">
        <v>262</v>
      </c>
    </row>
    <row r="8" spans="1:7" x14ac:dyDescent="0.35">
      <c r="A8" s="12" t="s">
        <v>866</v>
      </c>
      <c r="B8" s="12" t="s">
        <v>858</v>
      </c>
      <c r="C8" s="12" t="s">
        <v>867</v>
      </c>
      <c r="D8" s="12" t="s">
        <v>868</v>
      </c>
      <c r="E8" s="12" t="s">
        <v>869</v>
      </c>
      <c r="F8" s="12" t="s">
        <v>848</v>
      </c>
      <c r="G8" s="12" t="s">
        <v>262</v>
      </c>
    </row>
    <row r="9" spans="1:7" x14ac:dyDescent="0.35">
      <c r="A9" s="12" t="s">
        <v>870</v>
      </c>
      <c r="B9" s="12" t="s">
        <v>871</v>
      </c>
      <c r="C9" s="12" t="s">
        <v>660</v>
      </c>
      <c r="D9" s="12" t="s">
        <v>872</v>
      </c>
      <c r="E9" s="12" t="s">
        <v>873</v>
      </c>
      <c r="F9" s="12" t="s">
        <v>862</v>
      </c>
      <c r="G9" s="12" t="s">
        <v>262</v>
      </c>
    </row>
    <row r="10" spans="1:7" x14ac:dyDescent="0.35">
      <c r="A10" s="12" t="s">
        <v>874</v>
      </c>
      <c r="B10" s="12" t="s">
        <v>871</v>
      </c>
      <c r="C10" s="12" t="s">
        <v>634</v>
      </c>
      <c r="D10" s="12" t="s">
        <v>875</v>
      </c>
      <c r="E10" s="12" t="s">
        <v>876</v>
      </c>
      <c r="F10" s="12" t="s">
        <v>862</v>
      </c>
      <c r="G10" s="12" t="s">
        <v>262</v>
      </c>
    </row>
    <row r="11" spans="1:7" x14ac:dyDescent="0.35">
      <c r="A11" s="12" t="s">
        <v>877</v>
      </c>
      <c r="B11" s="12" t="s">
        <v>871</v>
      </c>
      <c r="C11" s="12" t="s">
        <v>878</v>
      </c>
      <c r="D11" s="12" t="s">
        <v>879</v>
      </c>
      <c r="E11" s="12" t="s">
        <v>880</v>
      </c>
      <c r="F11" s="12" t="s">
        <v>862</v>
      </c>
      <c r="G11" s="12" t="s">
        <v>262</v>
      </c>
    </row>
    <row r="12" spans="1:7" x14ac:dyDescent="0.35">
      <c r="A12" s="12" t="s">
        <v>881</v>
      </c>
      <c r="B12" s="12" t="s">
        <v>871</v>
      </c>
      <c r="C12" s="12" t="s">
        <v>882</v>
      </c>
      <c r="D12" s="12" t="s">
        <v>883</v>
      </c>
      <c r="E12" s="12" t="s">
        <v>884</v>
      </c>
      <c r="F12" s="12" t="s">
        <v>862</v>
      </c>
      <c r="G12" s="12" t="s">
        <v>262</v>
      </c>
    </row>
    <row r="13" spans="1:7" x14ac:dyDescent="0.35">
      <c r="A13" s="12" t="s">
        <v>885</v>
      </c>
      <c r="B13" s="12" t="s">
        <v>871</v>
      </c>
      <c r="C13" s="12" t="s">
        <v>886</v>
      </c>
      <c r="D13" s="12" t="s">
        <v>887</v>
      </c>
      <c r="E13" s="12" t="s">
        <v>888</v>
      </c>
      <c r="F13" s="12" t="s">
        <v>862</v>
      </c>
      <c r="G13" s="12" t="s">
        <v>262</v>
      </c>
    </row>
    <row r="14" spans="1:7" x14ac:dyDescent="0.35">
      <c r="A14" s="12" t="s">
        <v>889</v>
      </c>
      <c r="B14" s="12" t="s">
        <v>890</v>
      </c>
      <c r="C14" s="12" t="s">
        <v>645</v>
      </c>
      <c r="D14" s="12" t="s">
        <v>891</v>
      </c>
      <c r="E14" s="12" t="s">
        <v>892</v>
      </c>
      <c r="F14" s="12" t="s">
        <v>858</v>
      </c>
      <c r="G14" s="12" t="s">
        <v>262</v>
      </c>
    </row>
    <row r="15" spans="1:7" x14ac:dyDescent="0.35">
      <c r="A15" s="12" t="s">
        <v>893</v>
      </c>
      <c r="B15" s="12" t="s">
        <v>890</v>
      </c>
      <c r="C15" s="12" t="s">
        <v>894</v>
      </c>
      <c r="D15" s="12" t="s">
        <v>895</v>
      </c>
      <c r="E15" s="12" t="s">
        <v>896</v>
      </c>
      <c r="F15" s="12" t="s">
        <v>858</v>
      </c>
      <c r="G15" s="12" t="s">
        <v>262</v>
      </c>
    </row>
    <row r="16" spans="1:7" x14ac:dyDescent="0.35">
      <c r="A16" s="12" t="s">
        <v>897</v>
      </c>
      <c r="B16" s="12" t="s">
        <v>898</v>
      </c>
      <c r="C16" s="12" t="s">
        <v>899</v>
      </c>
      <c r="D16" s="12" t="s">
        <v>900</v>
      </c>
      <c r="E16" s="12" t="s">
        <v>901</v>
      </c>
      <c r="F16" s="12" t="s">
        <v>388</v>
      </c>
      <c r="G16" s="12" t="s">
        <v>262</v>
      </c>
    </row>
    <row r="17" spans="1:7" x14ac:dyDescent="0.35">
      <c r="A17" s="12" t="s">
        <v>902</v>
      </c>
      <c r="B17" s="12" t="s">
        <v>898</v>
      </c>
      <c r="C17" s="12" t="s">
        <v>903</v>
      </c>
      <c r="D17" s="12" t="s">
        <v>904</v>
      </c>
      <c r="E17" s="12" t="s">
        <v>905</v>
      </c>
      <c r="F17" s="12" t="s">
        <v>388</v>
      </c>
      <c r="G17" s="12" t="s">
        <v>262</v>
      </c>
    </row>
    <row r="18" spans="1:7" x14ac:dyDescent="0.35">
      <c r="A18" s="12" t="s">
        <v>906</v>
      </c>
      <c r="B18" s="12" t="s">
        <v>301</v>
      </c>
      <c r="C18" s="12" t="s">
        <v>694</v>
      </c>
      <c r="D18" s="12" t="s">
        <v>907</v>
      </c>
      <c r="E18" s="12" t="s">
        <v>908</v>
      </c>
      <c r="F18" s="12" t="s">
        <v>909</v>
      </c>
      <c r="G18" s="12" t="s">
        <v>262</v>
      </c>
    </row>
    <row r="19" spans="1:7" x14ac:dyDescent="0.35">
      <c r="A19" s="12" t="s">
        <v>910</v>
      </c>
      <c r="B19" s="12" t="s">
        <v>301</v>
      </c>
      <c r="C19" s="12" t="s">
        <v>702</v>
      </c>
      <c r="D19" s="12" t="s">
        <v>911</v>
      </c>
      <c r="E19" s="12" t="s">
        <v>912</v>
      </c>
      <c r="F19" s="12" t="s">
        <v>913</v>
      </c>
      <c r="G19" s="12" t="s">
        <v>262</v>
      </c>
    </row>
    <row r="20" spans="1:7" x14ac:dyDescent="0.35">
      <c r="A20" s="12" t="s">
        <v>914</v>
      </c>
      <c r="B20" s="12" t="s">
        <v>294</v>
      </c>
      <c r="C20" s="12" t="s">
        <v>665</v>
      </c>
      <c r="D20" s="12" t="s">
        <v>915</v>
      </c>
      <c r="E20" s="12" t="s">
        <v>916</v>
      </c>
      <c r="F20" s="12" t="s">
        <v>840</v>
      </c>
      <c r="G20" s="12" t="s">
        <v>262</v>
      </c>
    </row>
    <row r="21" spans="1:7" x14ac:dyDescent="0.35">
      <c r="A21" s="12" t="s">
        <v>917</v>
      </c>
      <c r="B21" s="12" t="s">
        <v>918</v>
      </c>
      <c r="C21" s="12" t="s">
        <v>724</v>
      </c>
      <c r="D21" s="12" t="s">
        <v>919</v>
      </c>
      <c r="E21" s="12" t="s">
        <v>920</v>
      </c>
      <c r="F21" s="12" t="s">
        <v>862</v>
      </c>
      <c r="G21" s="12" t="s">
        <v>720</v>
      </c>
    </row>
    <row r="23" spans="1:7" ht="27.75" customHeight="1" x14ac:dyDescent="0.35">
      <c r="A23" s="1" t="s">
        <v>921</v>
      </c>
      <c r="B23" s="1"/>
      <c r="C23" s="1"/>
      <c r="D23" s="1"/>
      <c r="E23" s="1"/>
      <c r="F23" s="1"/>
      <c r="G23" s="1"/>
    </row>
  </sheetData>
  <autoFilter ref="A1:G21" xr:uid="{00000000-0009-0000-0000-00000A000000}"/>
  <mergeCells count="1">
    <mergeCell ref="A23:G23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E7D32"/>
  </sheetPr>
  <dimension ref="A1:F17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2" width="30" customWidth="1"/>
    <col min="3" max="3" width="62" customWidth="1"/>
    <col min="4" max="4" width="30" customWidth="1"/>
    <col min="5" max="5" width="34" customWidth="1"/>
    <col min="6" max="6" width="56" customWidth="1"/>
  </cols>
  <sheetData>
    <row r="1" spans="1:6" ht="27.75" customHeight="1" x14ac:dyDescent="0.35">
      <c r="A1" s="11" t="s">
        <v>922</v>
      </c>
      <c r="B1" s="11" t="s">
        <v>923</v>
      </c>
      <c r="C1" s="11" t="s">
        <v>838</v>
      </c>
      <c r="D1" s="11" t="s">
        <v>924</v>
      </c>
      <c r="E1" s="11" t="s">
        <v>925</v>
      </c>
      <c r="F1" s="11" t="s">
        <v>926</v>
      </c>
    </row>
    <row r="2" spans="1:6" ht="25" x14ac:dyDescent="0.35">
      <c r="A2" s="12" t="s">
        <v>927</v>
      </c>
      <c r="B2" s="12" t="s">
        <v>928</v>
      </c>
      <c r="C2" s="12" t="s">
        <v>929</v>
      </c>
      <c r="D2" s="12" t="s">
        <v>930</v>
      </c>
      <c r="E2" s="12" t="s">
        <v>931</v>
      </c>
      <c r="F2" s="12" t="s">
        <v>932</v>
      </c>
    </row>
    <row r="3" spans="1:6" x14ac:dyDescent="0.35">
      <c r="A3" s="12" t="s">
        <v>890</v>
      </c>
      <c r="B3" s="12" t="s">
        <v>933</v>
      </c>
      <c r="C3" s="12" t="s">
        <v>934</v>
      </c>
      <c r="D3" s="12" t="s">
        <v>935</v>
      </c>
      <c r="E3" s="12" t="s">
        <v>936</v>
      </c>
      <c r="F3" s="12" t="s">
        <v>937</v>
      </c>
    </row>
    <row r="4" spans="1:6" x14ac:dyDescent="0.35">
      <c r="A4" s="12" t="s">
        <v>890</v>
      </c>
      <c r="B4" s="12" t="s">
        <v>938</v>
      </c>
      <c r="C4" s="12" t="s">
        <v>939</v>
      </c>
      <c r="D4" s="12" t="s">
        <v>940</v>
      </c>
      <c r="E4" s="12" t="s">
        <v>941</v>
      </c>
      <c r="F4" s="12" t="s">
        <v>942</v>
      </c>
    </row>
    <row r="5" spans="1:6" x14ac:dyDescent="0.35">
      <c r="A5" s="12" t="s">
        <v>858</v>
      </c>
      <c r="B5" s="12" t="s">
        <v>943</v>
      </c>
      <c r="C5" s="12" t="s">
        <v>944</v>
      </c>
      <c r="D5" s="12" t="s">
        <v>945</v>
      </c>
      <c r="E5" s="12" t="s">
        <v>946</v>
      </c>
      <c r="F5" s="12" t="s">
        <v>947</v>
      </c>
    </row>
    <row r="6" spans="1:6" ht="25" x14ac:dyDescent="0.35">
      <c r="A6" s="12" t="s">
        <v>858</v>
      </c>
      <c r="B6" s="12" t="s">
        <v>948</v>
      </c>
      <c r="C6" s="12" t="s">
        <v>949</v>
      </c>
      <c r="D6" s="12" t="s">
        <v>950</v>
      </c>
      <c r="E6" s="12" t="s">
        <v>951</v>
      </c>
      <c r="F6" s="12" t="s">
        <v>952</v>
      </c>
    </row>
    <row r="7" spans="1:6" ht="25" x14ac:dyDescent="0.35">
      <c r="A7" s="12" t="s">
        <v>840</v>
      </c>
      <c r="B7" s="12" t="s">
        <v>519</v>
      </c>
      <c r="C7" s="12" t="s">
        <v>953</v>
      </c>
      <c r="D7" s="12" t="s">
        <v>954</v>
      </c>
      <c r="E7" s="12" t="s">
        <v>955</v>
      </c>
      <c r="F7" s="12" t="s">
        <v>956</v>
      </c>
    </row>
    <row r="8" spans="1:6" x14ac:dyDescent="0.35">
      <c r="A8" s="12" t="s">
        <v>957</v>
      </c>
      <c r="B8" s="12" t="s">
        <v>958</v>
      </c>
      <c r="C8" s="12" t="s">
        <v>959</v>
      </c>
      <c r="D8" s="12" t="s">
        <v>388</v>
      </c>
      <c r="E8" s="12" t="s">
        <v>960</v>
      </c>
      <c r="F8" s="12" t="s">
        <v>961</v>
      </c>
    </row>
    <row r="9" spans="1:6" x14ac:dyDescent="0.35">
      <c r="A9" s="12" t="s">
        <v>871</v>
      </c>
      <c r="B9" s="12" t="s">
        <v>962</v>
      </c>
      <c r="C9" s="12" t="s">
        <v>963</v>
      </c>
      <c r="D9" s="12" t="s">
        <v>964</v>
      </c>
      <c r="E9" s="12" t="s">
        <v>965</v>
      </c>
      <c r="F9" s="12" t="s">
        <v>966</v>
      </c>
    </row>
    <row r="10" spans="1:6" ht="25" x14ac:dyDescent="0.35">
      <c r="A10" s="12" t="s">
        <v>871</v>
      </c>
      <c r="B10" s="12" t="s">
        <v>391</v>
      </c>
      <c r="C10" s="12" t="s">
        <v>967</v>
      </c>
      <c r="D10" s="12" t="s">
        <v>968</v>
      </c>
      <c r="E10" s="12" t="s">
        <v>969</v>
      </c>
      <c r="F10" s="12" t="s">
        <v>970</v>
      </c>
    </row>
    <row r="11" spans="1:6" ht="25" x14ac:dyDescent="0.35">
      <c r="A11" s="12" t="s">
        <v>871</v>
      </c>
      <c r="B11" s="12" t="s">
        <v>971</v>
      </c>
      <c r="C11" s="12" t="s">
        <v>972</v>
      </c>
      <c r="D11" s="12" t="s">
        <v>973</v>
      </c>
      <c r="E11" s="12" t="s">
        <v>974</v>
      </c>
      <c r="F11" s="12" t="s">
        <v>975</v>
      </c>
    </row>
    <row r="12" spans="1:6" ht="25" x14ac:dyDescent="0.35">
      <c r="A12" s="12" t="s">
        <v>871</v>
      </c>
      <c r="B12" s="12" t="s">
        <v>976</v>
      </c>
      <c r="C12" s="12" t="s">
        <v>977</v>
      </c>
      <c r="D12" s="12" t="s">
        <v>978</v>
      </c>
      <c r="E12" s="12" t="s">
        <v>979</v>
      </c>
      <c r="F12" s="12" t="s">
        <v>980</v>
      </c>
    </row>
    <row r="13" spans="1:6" ht="25" x14ac:dyDescent="0.35">
      <c r="A13" s="12" t="s">
        <v>898</v>
      </c>
      <c r="B13" s="12" t="s">
        <v>981</v>
      </c>
      <c r="C13" s="12" t="s">
        <v>982</v>
      </c>
      <c r="D13" s="12" t="s">
        <v>983</v>
      </c>
      <c r="E13" s="12" t="s">
        <v>984</v>
      </c>
      <c r="F13" s="12" t="s">
        <v>985</v>
      </c>
    </row>
    <row r="14" spans="1:6" ht="25" x14ac:dyDescent="0.35">
      <c r="A14" s="12" t="s">
        <v>898</v>
      </c>
      <c r="B14" s="12" t="s">
        <v>356</v>
      </c>
      <c r="C14" s="12" t="s">
        <v>986</v>
      </c>
      <c r="D14" s="12" t="s">
        <v>987</v>
      </c>
      <c r="E14" s="12" t="s">
        <v>988</v>
      </c>
      <c r="F14" s="12" t="s">
        <v>989</v>
      </c>
    </row>
    <row r="15" spans="1:6" ht="25" x14ac:dyDescent="0.35">
      <c r="A15" s="12" t="s">
        <v>990</v>
      </c>
      <c r="B15" s="12" t="s">
        <v>991</v>
      </c>
      <c r="C15" s="12" t="s">
        <v>992</v>
      </c>
      <c r="D15" s="12" t="s">
        <v>388</v>
      </c>
      <c r="E15" s="12" t="s">
        <v>993</v>
      </c>
      <c r="F15" s="12" t="s">
        <v>994</v>
      </c>
    </row>
    <row r="16" spans="1:6" ht="25" x14ac:dyDescent="0.35">
      <c r="A16" s="12" t="s">
        <v>990</v>
      </c>
      <c r="B16" s="12" t="s">
        <v>995</v>
      </c>
      <c r="C16" s="12" t="s">
        <v>996</v>
      </c>
      <c r="D16" s="12" t="s">
        <v>388</v>
      </c>
      <c r="E16" s="12" t="s">
        <v>997</v>
      </c>
      <c r="F16" s="12" t="s">
        <v>998</v>
      </c>
    </row>
    <row r="17" spans="1:6" ht="25" x14ac:dyDescent="0.35">
      <c r="A17" s="12" t="s">
        <v>999</v>
      </c>
      <c r="B17" s="12" t="s">
        <v>1000</v>
      </c>
      <c r="C17" s="12" t="s">
        <v>1001</v>
      </c>
      <c r="D17" s="12" t="s">
        <v>1002</v>
      </c>
      <c r="E17" s="12" t="s">
        <v>1003</v>
      </c>
      <c r="F17" s="12" t="s">
        <v>1004</v>
      </c>
    </row>
  </sheetData>
  <autoFilter ref="A1:F17" xr:uid="{00000000-0009-0000-0000-00000B000000}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E7D32"/>
  </sheetPr>
  <dimension ref="A1:E2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8" customWidth="1"/>
    <col min="2" max="2" width="22" customWidth="1"/>
    <col min="3" max="3" width="46" customWidth="1"/>
    <col min="4" max="4" width="56" customWidth="1"/>
    <col min="5" max="5" width="46" customWidth="1"/>
  </cols>
  <sheetData>
    <row r="1" spans="1:5" ht="27.75" customHeight="1" x14ac:dyDescent="0.35">
      <c r="A1" s="11" t="s">
        <v>1005</v>
      </c>
      <c r="B1" s="11" t="s">
        <v>1006</v>
      </c>
      <c r="C1" s="11" t="s">
        <v>1007</v>
      </c>
      <c r="D1" s="11" t="s">
        <v>1008</v>
      </c>
      <c r="E1" s="11" t="s">
        <v>1009</v>
      </c>
    </row>
    <row r="2" spans="1:5" ht="25" x14ac:dyDescent="0.35">
      <c r="A2" s="12" t="s">
        <v>1010</v>
      </c>
      <c r="B2" s="12" t="s">
        <v>269</v>
      </c>
      <c r="C2" s="12" t="s">
        <v>1011</v>
      </c>
      <c r="D2" s="12" t="s">
        <v>1012</v>
      </c>
      <c r="E2" s="12" t="s">
        <v>1013</v>
      </c>
    </row>
    <row r="3" spans="1:5" x14ac:dyDescent="0.35">
      <c r="A3" s="12" t="s">
        <v>1010</v>
      </c>
      <c r="B3" s="12" t="s">
        <v>387</v>
      </c>
      <c r="C3" s="12" t="s">
        <v>1014</v>
      </c>
      <c r="D3" s="12" t="s">
        <v>1015</v>
      </c>
      <c r="E3" s="12" t="s">
        <v>1016</v>
      </c>
    </row>
    <row r="4" spans="1:5" ht="25" x14ac:dyDescent="0.35">
      <c r="A4" s="12" t="s">
        <v>1010</v>
      </c>
      <c r="B4" s="12" t="s">
        <v>277</v>
      </c>
      <c r="C4" s="12" t="s">
        <v>1017</v>
      </c>
      <c r="D4" s="12" t="s">
        <v>1018</v>
      </c>
      <c r="E4" s="12" t="s">
        <v>1019</v>
      </c>
    </row>
    <row r="5" spans="1:5" x14ac:dyDescent="0.35">
      <c r="A5" s="12" t="s">
        <v>1010</v>
      </c>
      <c r="B5" s="12" t="s">
        <v>290</v>
      </c>
      <c r="C5" s="12" t="s">
        <v>1020</v>
      </c>
      <c r="D5" s="12" t="s">
        <v>1021</v>
      </c>
      <c r="E5" s="12" t="s">
        <v>1022</v>
      </c>
    </row>
    <row r="6" spans="1:5" ht="25" x14ac:dyDescent="0.35">
      <c r="A6" s="12" t="s">
        <v>1010</v>
      </c>
      <c r="B6" s="12" t="s">
        <v>294</v>
      </c>
      <c r="C6" s="12" t="s">
        <v>1023</v>
      </c>
      <c r="D6" s="12" t="s">
        <v>1024</v>
      </c>
      <c r="E6" s="12" t="s">
        <v>1025</v>
      </c>
    </row>
    <row r="7" spans="1:5" x14ac:dyDescent="0.35">
      <c r="A7" s="12" t="s">
        <v>1010</v>
      </c>
      <c r="B7" s="12" t="s">
        <v>301</v>
      </c>
      <c r="C7" s="12" t="s">
        <v>1026</v>
      </c>
      <c r="D7" s="12" t="s">
        <v>1027</v>
      </c>
      <c r="E7" s="12" t="s">
        <v>1028</v>
      </c>
    </row>
    <row r="8" spans="1:5" ht="25" x14ac:dyDescent="0.35">
      <c r="A8" s="12" t="s">
        <v>1010</v>
      </c>
      <c r="B8" s="12" t="s">
        <v>1029</v>
      </c>
      <c r="C8" s="12" t="s">
        <v>1030</v>
      </c>
      <c r="D8" s="12" t="s">
        <v>1031</v>
      </c>
      <c r="E8" s="12" t="s">
        <v>1032</v>
      </c>
    </row>
    <row r="9" spans="1:5" x14ac:dyDescent="0.35">
      <c r="A9" s="12" t="s">
        <v>1010</v>
      </c>
      <c r="B9" s="12" t="s">
        <v>326</v>
      </c>
      <c r="C9" s="12" t="s">
        <v>1033</v>
      </c>
      <c r="D9" s="12" t="s">
        <v>1034</v>
      </c>
      <c r="E9" s="12" t="s">
        <v>1035</v>
      </c>
    </row>
    <row r="10" spans="1:5" x14ac:dyDescent="0.35">
      <c r="A10" s="12" t="s">
        <v>1010</v>
      </c>
      <c r="B10" s="12" t="s">
        <v>1036</v>
      </c>
      <c r="C10" s="12" t="s">
        <v>1037</v>
      </c>
      <c r="D10" s="12" t="s">
        <v>1038</v>
      </c>
      <c r="E10" s="12" t="s">
        <v>1039</v>
      </c>
    </row>
    <row r="11" spans="1:5" x14ac:dyDescent="0.35">
      <c r="A11" s="12" t="s">
        <v>1010</v>
      </c>
      <c r="B11" s="12" t="s">
        <v>1040</v>
      </c>
      <c r="C11" s="12" t="s">
        <v>1041</v>
      </c>
      <c r="D11" s="12" t="s">
        <v>1042</v>
      </c>
      <c r="E11" s="12" t="s">
        <v>1043</v>
      </c>
    </row>
    <row r="12" spans="1:5" x14ac:dyDescent="0.35">
      <c r="A12" s="12" t="s">
        <v>1010</v>
      </c>
      <c r="B12" s="12" t="s">
        <v>1044</v>
      </c>
      <c r="C12" s="12" t="s">
        <v>1045</v>
      </c>
      <c r="D12" s="12" t="s">
        <v>1046</v>
      </c>
      <c r="E12" s="12" t="s">
        <v>1047</v>
      </c>
    </row>
    <row r="13" spans="1:5" x14ac:dyDescent="0.35">
      <c r="A13" s="12" t="s">
        <v>1010</v>
      </c>
      <c r="B13" s="12" t="s">
        <v>458</v>
      </c>
      <c r="C13" s="12" t="s">
        <v>1048</v>
      </c>
      <c r="D13" s="12" t="s">
        <v>1049</v>
      </c>
      <c r="E13" s="12" t="s">
        <v>1050</v>
      </c>
    </row>
    <row r="14" spans="1:5" ht="25" x14ac:dyDescent="0.35">
      <c r="A14" s="12" t="s">
        <v>194</v>
      </c>
      <c r="B14" s="12" t="s">
        <v>1051</v>
      </c>
      <c r="C14" s="12" t="s">
        <v>1052</v>
      </c>
      <c r="D14" s="12" t="s">
        <v>1053</v>
      </c>
      <c r="E14" s="12" t="s">
        <v>1054</v>
      </c>
    </row>
    <row r="15" spans="1:5" x14ac:dyDescent="0.35">
      <c r="A15" s="12" t="s">
        <v>194</v>
      </c>
      <c r="B15" s="12" t="s">
        <v>1055</v>
      </c>
      <c r="C15" s="12" t="s">
        <v>1056</v>
      </c>
      <c r="D15" s="12" t="s">
        <v>1057</v>
      </c>
      <c r="E15" s="12" t="s">
        <v>1058</v>
      </c>
    </row>
    <row r="16" spans="1:5" x14ac:dyDescent="0.35">
      <c r="A16" s="12" t="s">
        <v>194</v>
      </c>
      <c r="B16" s="12" t="s">
        <v>971</v>
      </c>
      <c r="C16" s="12" t="s">
        <v>1059</v>
      </c>
      <c r="D16" s="12" t="s">
        <v>1060</v>
      </c>
      <c r="E16" s="12" t="s">
        <v>1061</v>
      </c>
    </row>
    <row r="17" spans="1:5" ht="25" x14ac:dyDescent="0.35">
      <c r="A17" s="12" t="s">
        <v>194</v>
      </c>
      <c r="B17" s="12" t="s">
        <v>466</v>
      </c>
      <c r="C17" s="12" t="s">
        <v>1062</v>
      </c>
      <c r="D17" s="12" t="s">
        <v>1063</v>
      </c>
      <c r="E17" s="12" t="s">
        <v>1064</v>
      </c>
    </row>
    <row r="18" spans="1:5" x14ac:dyDescent="0.35">
      <c r="A18" s="12" t="s">
        <v>194</v>
      </c>
      <c r="B18" s="12" t="s">
        <v>981</v>
      </c>
      <c r="C18" s="12" t="s">
        <v>1065</v>
      </c>
      <c r="D18" s="12" t="s">
        <v>1066</v>
      </c>
      <c r="E18" s="12" t="s">
        <v>1067</v>
      </c>
    </row>
    <row r="19" spans="1:5" x14ac:dyDescent="0.35">
      <c r="A19" s="12" t="s">
        <v>194</v>
      </c>
      <c r="B19" s="12" t="s">
        <v>1068</v>
      </c>
      <c r="C19" s="12" t="s">
        <v>1069</v>
      </c>
      <c r="D19" s="12" t="s">
        <v>1070</v>
      </c>
      <c r="E19" s="12" t="s">
        <v>1071</v>
      </c>
    </row>
    <row r="21" spans="1:5" ht="39" customHeight="1" x14ac:dyDescent="0.35">
      <c r="A21" s="1" t="s">
        <v>1072</v>
      </c>
      <c r="B21" s="1"/>
      <c r="C21" s="1"/>
      <c r="D21" s="1"/>
      <c r="E21" s="1"/>
    </row>
  </sheetData>
  <autoFilter ref="A1:E19" xr:uid="{00000000-0009-0000-0000-00000C000000}"/>
  <mergeCells count="1">
    <mergeCell ref="A21:E2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E7D32"/>
  </sheetPr>
  <dimension ref="A1:D1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4" customWidth="1"/>
    <col min="2" max="2" width="22" customWidth="1"/>
    <col min="3" max="3" width="40" customWidth="1"/>
    <col min="4" max="4" width="120" customWidth="1"/>
  </cols>
  <sheetData>
    <row r="1" spans="1:4" ht="27.75" customHeight="1" x14ac:dyDescent="0.35">
      <c r="A1" s="11" t="s">
        <v>1073</v>
      </c>
      <c r="B1" s="11" t="s">
        <v>1074</v>
      </c>
      <c r="C1" s="11" t="s">
        <v>1008</v>
      </c>
      <c r="D1" s="11" t="s">
        <v>1075</v>
      </c>
    </row>
    <row r="2" spans="1:4" ht="75" x14ac:dyDescent="0.35">
      <c r="A2" s="12" t="s">
        <v>1076</v>
      </c>
      <c r="B2" s="12" t="s">
        <v>1077</v>
      </c>
      <c r="C2" s="12" t="s">
        <v>1078</v>
      </c>
      <c r="D2" s="12" t="s">
        <v>1079</v>
      </c>
    </row>
    <row r="3" spans="1:4" ht="37.5" x14ac:dyDescent="0.35">
      <c r="A3" s="12" t="s">
        <v>1080</v>
      </c>
      <c r="B3" s="12" t="s">
        <v>1081</v>
      </c>
      <c r="C3" s="12" t="s">
        <v>1082</v>
      </c>
      <c r="D3" s="12" t="s">
        <v>1083</v>
      </c>
    </row>
    <row r="4" spans="1:4" ht="100" x14ac:dyDescent="0.35">
      <c r="A4" s="12" t="s">
        <v>1084</v>
      </c>
      <c r="B4" s="12" t="s">
        <v>1085</v>
      </c>
      <c r="C4" s="12" t="s">
        <v>1086</v>
      </c>
      <c r="D4" s="12" t="s">
        <v>1087</v>
      </c>
    </row>
    <row r="5" spans="1:4" ht="50" x14ac:dyDescent="0.35">
      <c r="A5" s="12" t="s">
        <v>1088</v>
      </c>
      <c r="B5" s="12" t="s">
        <v>1089</v>
      </c>
      <c r="C5" s="12" t="s">
        <v>1090</v>
      </c>
      <c r="D5" s="12" t="s">
        <v>1091</v>
      </c>
    </row>
    <row r="6" spans="1:4" ht="37.5" x14ac:dyDescent="0.35">
      <c r="A6" s="12" t="s">
        <v>1092</v>
      </c>
      <c r="B6" s="12" t="s">
        <v>1093</v>
      </c>
      <c r="C6" s="12" t="s">
        <v>1094</v>
      </c>
      <c r="D6" s="12" t="s">
        <v>1095</v>
      </c>
    </row>
    <row r="7" spans="1:4" ht="62.5" x14ac:dyDescent="0.35">
      <c r="A7" s="12" t="s">
        <v>1096</v>
      </c>
      <c r="B7" s="12" t="s">
        <v>1097</v>
      </c>
      <c r="C7" s="12" t="s">
        <v>1098</v>
      </c>
      <c r="D7" s="12" t="s">
        <v>1099</v>
      </c>
    </row>
    <row r="8" spans="1:4" ht="50" x14ac:dyDescent="0.35">
      <c r="A8" s="12" t="s">
        <v>1100</v>
      </c>
      <c r="B8" s="12" t="s">
        <v>1101</v>
      </c>
      <c r="C8" s="12" t="s">
        <v>1102</v>
      </c>
      <c r="D8" s="12" t="s">
        <v>1103</v>
      </c>
    </row>
    <row r="9" spans="1:4" ht="37.5" x14ac:dyDescent="0.35">
      <c r="A9" s="12" t="s">
        <v>1104</v>
      </c>
      <c r="B9" s="12" t="s">
        <v>1105</v>
      </c>
      <c r="C9" s="12" t="s">
        <v>1106</v>
      </c>
      <c r="D9" s="12" t="s">
        <v>1107</v>
      </c>
    </row>
    <row r="10" spans="1:4" ht="62.5" x14ac:dyDescent="0.35">
      <c r="A10" s="12" t="s">
        <v>1108</v>
      </c>
      <c r="B10" s="12" t="s">
        <v>1109</v>
      </c>
      <c r="C10" s="12" t="s">
        <v>1110</v>
      </c>
      <c r="D10" s="12" t="s">
        <v>1111</v>
      </c>
    </row>
    <row r="11" spans="1:4" ht="75" x14ac:dyDescent="0.35">
      <c r="A11" s="12" t="s">
        <v>1112</v>
      </c>
      <c r="B11" s="12" t="s">
        <v>1113</v>
      </c>
      <c r="C11" s="12" t="s">
        <v>1114</v>
      </c>
      <c r="D11" s="12" t="s">
        <v>1115</v>
      </c>
    </row>
    <row r="13" spans="1:4" ht="27.75" customHeight="1" x14ac:dyDescent="0.35">
      <c r="A13" s="1" t="s">
        <v>1116</v>
      </c>
      <c r="B13" s="1"/>
      <c r="C13" s="1"/>
      <c r="D13" s="1"/>
    </row>
  </sheetData>
  <autoFilter ref="A1:D11" xr:uid="{00000000-0009-0000-0000-00000D000000}"/>
  <mergeCells count="1">
    <mergeCell ref="A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2E7D32"/>
  </sheetPr>
  <dimension ref="A1:F15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7" customWidth="1"/>
    <col min="2" max="2" width="24" customWidth="1"/>
    <col min="3" max="3" width="60" customWidth="1"/>
    <col min="4" max="4" width="34" customWidth="1"/>
    <col min="5" max="5" width="14" customWidth="1"/>
    <col min="6" max="6" width="54" customWidth="1"/>
  </cols>
  <sheetData>
    <row r="1" spans="1:6" ht="27.75" customHeight="1" x14ac:dyDescent="0.35">
      <c r="A1" s="11" t="s">
        <v>1117</v>
      </c>
      <c r="B1" s="11" t="s">
        <v>923</v>
      </c>
      <c r="C1" s="11" t="s">
        <v>838</v>
      </c>
      <c r="D1" s="11" t="s">
        <v>1118</v>
      </c>
      <c r="E1" s="11" t="s">
        <v>1119</v>
      </c>
      <c r="F1" s="11" t="s">
        <v>1120</v>
      </c>
    </row>
    <row r="2" spans="1:6" x14ac:dyDescent="0.35">
      <c r="A2" s="12">
        <v>1</v>
      </c>
      <c r="B2" s="12" t="s">
        <v>1121</v>
      </c>
      <c r="C2" s="12" t="s">
        <v>1122</v>
      </c>
      <c r="D2" s="12" t="s">
        <v>388</v>
      </c>
      <c r="E2" s="12" t="s">
        <v>388</v>
      </c>
      <c r="F2" s="12" t="s">
        <v>1123</v>
      </c>
    </row>
    <row r="3" spans="1:6" x14ac:dyDescent="0.35">
      <c r="A3" s="12">
        <v>2</v>
      </c>
      <c r="B3" s="12" t="s">
        <v>1124</v>
      </c>
      <c r="C3" s="12" t="s">
        <v>1125</v>
      </c>
      <c r="D3" s="12" t="s">
        <v>1126</v>
      </c>
      <c r="E3" s="12" t="s">
        <v>388</v>
      </c>
      <c r="F3" s="12" t="s">
        <v>1127</v>
      </c>
    </row>
    <row r="4" spans="1:6" ht="25" x14ac:dyDescent="0.35">
      <c r="A4" s="12">
        <v>3</v>
      </c>
      <c r="B4" s="12" t="s">
        <v>1128</v>
      </c>
      <c r="C4" s="12" t="s">
        <v>1129</v>
      </c>
      <c r="D4" s="12" t="s">
        <v>1130</v>
      </c>
      <c r="E4" s="12" t="s">
        <v>1131</v>
      </c>
      <c r="F4" s="12" t="s">
        <v>1132</v>
      </c>
    </row>
    <row r="5" spans="1:6" ht="25" x14ac:dyDescent="0.35">
      <c r="A5" s="12">
        <v>4</v>
      </c>
      <c r="B5" s="12" t="s">
        <v>1133</v>
      </c>
      <c r="C5" s="12" t="s">
        <v>1134</v>
      </c>
      <c r="D5" s="12" t="s">
        <v>1135</v>
      </c>
      <c r="E5" s="12" t="s">
        <v>1136</v>
      </c>
      <c r="F5" s="12" t="s">
        <v>1137</v>
      </c>
    </row>
    <row r="6" spans="1:6" x14ac:dyDescent="0.35">
      <c r="A6" s="12">
        <v>5</v>
      </c>
      <c r="B6" s="12" t="s">
        <v>1138</v>
      </c>
      <c r="C6" s="12" t="s">
        <v>1139</v>
      </c>
      <c r="D6" s="12" t="s">
        <v>1140</v>
      </c>
      <c r="E6" s="12" t="s">
        <v>1141</v>
      </c>
      <c r="F6" s="12" t="s">
        <v>1142</v>
      </c>
    </row>
    <row r="7" spans="1:6" x14ac:dyDescent="0.35">
      <c r="A7" s="12">
        <v>6</v>
      </c>
      <c r="B7" s="12" t="s">
        <v>1143</v>
      </c>
      <c r="C7" s="12" t="s">
        <v>1144</v>
      </c>
      <c r="D7" s="12" t="s">
        <v>1145</v>
      </c>
      <c r="E7" s="12" t="s">
        <v>1146</v>
      </c>
      <c r="F7" s="12" t="s">
        <v>1147</v>
      </c>
    </row>
    <row r="8" spans="1:6" x14ac:dyDescent="0.35">
      <c r="A8" s="12">
        <v>7</v>
      </c>
      <c r="B8" s="12" t="s">
        <v>1148</v>
      </c>
      <c r="C8" s="12" t="s">
        <v>1149</v>
      </c>
      <c r="D8" s="12" t="s">
        <v>1150</v>
      </c>
      <c r="E8" s="12" t="s">
        <v>1151</v>
      </c>
      <c r="F8" s="12" t="s">
        <v>1152</v>
      </c>
    </row>
    <row r="9" spans="1:6" ht="25" x14ac:dyDescent="0.35">
      <c r="A9" s="12">
        <v>8</v>
      </c>
      <c r="B9" s="12" t="s">
        <v>1153</v>
      </c>
      <c r="C9" s="12" t="s">
        <v>1154</v>
      </c>
      <c r="D9" s="12" t="s">
        <v>1155</v>
      </c>
      <c r="E9" s="12" t="s">
        <v>1141</v>
      </c>
      <c r="F9" s="12" t="s">
        <v>1156</v>
      </c>
    </row>
    <row r="10" spans="1:6" ht="25" x14ac:dyDescent="0.35">
      <c r="A10" s="12">
        <v>9</v>
      </c>
      <c r="B10" s="12" t="s">
        <v>1157</v>
      </c>
      <c r="C10" s="12" t="s">
        <v>1158</v>
      </c>
      <c r="D10" s="12" t="s">
        <v>1159</v>
      </c>
      <c r="E10" s="12" t="s">
        <v>1160</v>
      </c>
      <c r="F10" s="12" t="s">
        <v>1161</v>
      </c>
    </row>
    <row r="11" spans="1:6" x14ac:dyDescent="0.35">
      <c r="A11" s="12">
        <v>10</v>
      </c>
      <c r="B11" s="12" t="s">
        <v>1162</v>
      </c>
      <c r="C11" s="12" t="s">
        <v>1163</v>
      </c>
      <c r="D11" s="12" t="s">
        <v>1164</v>
      </c>
      <c r="E11" s="12" t="s">
        <v>1165</v>
      </c>
      <c r="F11" s="12" t="s">
        <v>1166</v>
      </c>
    </row>
    <row r="12" spans="1:6" x14ac:dyDescent="0.35">
      <c r="A12" s="12">
        <v>11</v>
      </c>
      <c r="B12" s="12" t="s">
        <v>1167</v>
      </c>
      <c r="C12" s="12" t="s">
        <v>1168</v>
      </c>
      <c r="D12" s="12" t="s">
        <v>1169</v>
      </c>
      <c r="E12" s="12" t="s">
        <v>1170</v>
      </c>
      <c r="F12" s="12" t="s">
        <v>1171</v>
      </c>
    </row>
    <row r="13" spans="1:6" x14ac:dyDescent="0.35">
      <c r="A13" s="12">
        <v>12</v>
      </c>
      <c r="B13" s="12" t="s">
        <v>1172</v>
      </c>
      <c r="C13" s="12" t="s">
        <v>1173</v>
      </c>
      <c r="D13" s="12" t="s">
        <v>1174</v>
      </c>
      <c r="E13" s="12" t="s">
        <v>1175</v>
      </c>
      <c r="F13" s="12" t="s">
        <v>1176</v>
      </c>
    </row>
    <row r="15" spans="1:6" ht="39" customHeight="1" x14ac:dyDescent="0.35">
      <c r="A15" s="1" t="s">
        <v>1177</v>
      </c>
      <c r="B15" s="1"/>
      <c r="C15" s="1"/>
      <c r="D15" s="1"/>
      <c r="E15" s="1"/>
      <c r="F15" s="1"/>
    </row>
  </sheetData>
  <autoFilter ref="A1:F13" xr:uid="{00000000-0009-0000-0000-00000E000000}"/>
  <mergeCells count="1"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2E7D32"/>
  </sheetPr>
  <dimension ref="A1:G19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0" customWidth="1"/>
    <col min="2" max="2" width="16" customWidth="1"/>
    <col min="3" max="3" width="44" customWidth="1"/>
    <col min="4" max="4" width="54" customWidth="1"/>
    <col min="5" max="6" width="40" customWidth="1"/>
    <col min="7" max="7" width="18" customWidth="1"/>
  </cols>
  <sheetData>
    <row r="1" spans="1:7" ht="27.75" customHeight="1" x14ac:dyDescent="0.35">
      <c r="A1" s="11" t="s">
        <v>1178</v>
      </c>
      <c r="B1" s="11" t="s">
        <v>248</v>
      </c>
      <c r="C1" s="11" t="s">
        <v>1179</v>
      </c>
      <c r="D1" s="11" t="s">
        <v>1180</v>
      </c>
      <c r="E1" s="11" t="s">
        <v>1181</v>
      </c>
      <c r="F1" s="11" t="s">
        <v>1182</v>
      </c>
      <c r="G1" s="11" t="s">
        <v>1183</v>
      </c>
    </row>
    <row r="2" spans="1:7" x14ac:dyDescent="0.35">
      <c r="A2" s="12" t="s">
        <v>1184</v>
      </c>
      <c r="B2" s="12" t="s">
        <v>1185</v>
      </c>
      <c r="C2" s="12" t="s">
        <v>1186</v>
      </c>
      <c r="D2" s="12" t="s">
        <v>1187</v>
      </c>
      <c r="E2" s="12" t="s">
        <v>1188</v>
      </c>
      <c r="F2" s="12" t="s">
        <v>1189</v>
      </c>
      <c r="G2" s="12" t="s">
        <v>462</v>
      </c>
    </row>
    <row r="3" spans="1:7" x14ac:dyDescent="0.35">
      <c r="A3" s="12" t="s">
        <v>1190</v>
      </c>
      <c r="B3" s="12" t="s">
        <v>1191</v>
      </c>
      <c r="C3" s="12" t="s">
        <v>1192</v>
      </c>
      <c r="D3" s="12" t="s">
        <v>1193</v>
      </c>
      <c r="E3" s="12" t="s">
        <v>1194</v>
      </c>
      <c r="F3" s="12" t="s">
        <v>1195</v>
      </c>
      <c r="G3" s="12" t="s">
        <v>1196</v>
      </c>
    </row>
    <row r="4" spans="1:7" x14ac:dyDescent="0.35">
      <c r="A4" s="12" t="s">
        <v>1197</v>
      </c>
      <c r="B4" s="12" t="s">
        <v>1198</v>
      </c>
      <c r="C4" s="12" t="s">
        <v>1199</v>
      </c>
      <c r="D4" s="12" t="s">
        <v>1200</v>
      </c>
      <c r="E4" s="12" t="s">
        <v>1201</v>
      </c>
      <c r="F4" s="12" t="s">
        <v>1202</v>
      </c>
      <c r="G4" s="12" t="s">
        <v>1203</v>
      </c>
    </row>
    <row r="5" spans="1:7" x14ac:dyDescent="0.35">
      <c r="A5" s="12" t="s">
        <v>1204</v>
      </c>
      <c r="B5" s="12" t="s">
        <v>1205</v>
      </c>
      <c r="C5" s="12" t="s">
        <v>1206</v>
      </c>
      <c r="D5" s="12" t="s">
        <v>1207</v>
      </c>
      <c r="E5" s="12" t="s">
        <v>388</v>
      </c>
      <c r="F5" s="12" t="s">
        <v>1208</v>
      </c>
      <c r="G5" s="12" t="s">
        <v>1203</v>
      </c>
    </row>
    <row r="6" spans="1:7" x14ac:dyDescent="0.35">
      <c r="A6" s="12" t="s">
        <v>1209</v>
      </c>
      <c r="B6" s="12" t="s">
        <v>1205</v>
      </c>
      <c r="C6" s="12" t="s">
        <v>1210</v>
      </c>
      <c r="D6" s="12" t="s">
        <v>1211</v>
      </c>
      <c r="E6" s="12" t="s">
        <v>388</v>
      </c>
      <c r="F6" s="12" t="s">
        <v>1212</v>
      </c>
      <c r="G6" s="12" t="s">
        <v>1203</v>
      </c>
    </row>
    <row r="7" spans="1:7" ht="25" x14ac:dyDescent="0.35">
      <c r="A7" s="12" t="s">
        <v>1213</v>
      </c>
      <c r="B7" s="12" t="s">
        <v>1185</v>
      </c>
      <c r="C7" s="12" t="s">
        <v>1214</v>
      </c>
      <c r="D7" s="12" t="s">
        <v>1215</v>
      </c>
      <c r="E7" s="12" t="s">
        <v>1216</v>
      </c>
      <c r="F7" s="12" t="s">
        <v>1217</v>
      </c>
      <c r="G7" s="12" t="s">
        <v>1218</v>
      </c>
    </row>
    <row r="8" spans="1:7" x14ac:dyDescent="0.35">
      <c r="A8" s="12" t="s">
        <v>1219</v>
      </c>
      <c r="B8" s="12" t="s">
        <v>1220</v>
      </c>
      <c r="C8" s="12" t="s">
        <v>1221</v>
      </c>
      <c r="D8" s="12" t="s">
        <v>1222</v>
      </c>
      <c r="E8" s="12" t="s">
        <v>388</v>
      </c>
      <c r="F8" s="12" t="s">
        <v>1223</v>
      </c>
      <c r="G8" s="12" t="s">
        <v>1218</v>
      </c>
    </row>
    <row r="9" spans="1:7" x14ac:dyDescent="0.35">
      <c r="A9" s="12" t="s">
        <v>1224</v>
      </c>
      <c r="B9" s="12" t="s">
        <v>1225</v>
      </c>
      <c r="C9" s="12" t="s">
        <v>1226</v>
      </c>
      <c r="D9" s="12" t="s">
        <v>1227</v>
      </c>
      <c r="E9" s="12" t="s">
        <v>1228</v>
      </c>
      <c r="F9" s="12" t="s">
        <v>1229</v>
      </c>
      <c r="G9" s="12" t="s">
        <v>1218</v>
      </c>
    </row>
    <row r="10" spans="1:7" x14ac:dyDescent="0.35">
      <c r="A10" s="12" t="s">
        <v>290</v>
      </c>
      <c r="B10" s="12" t="s">
        <v>1185</v>
      </c>
      <c r="C10" s="12" t="s">
        <v>1230</v>
      </c>
      <c r="D10" s="12" t="s">
        <v>1231</v>
      </c>
      <c r="E10" s="12" t="s">
        <v>1232</v>
      </c>
      <c r="F10" s="12" t="s">
        <v>1233</v>
      </c>
      <c r="G10" s="12" t="s">
        <v>290</v>
      </c>
    </row>
    <row r="11" spans="1:7" ht="25" x14ac:dyDescent="0.35">
      <c r="A11" s="12" t="s">
        <v>301</v>
      </c>
      <c r="B11" s="12" t="s">
        <v>1185</v>
      </c>
      <c r="C11" s="12" t="s">
        <v>1234</v>
      </c>
      <c r="D11" s="12" t="s">
        <v>1235</v>
      </c>
      <c r="E11" s="12" t="s">
        <v>1236</v>
      </c>
      <c r="F11" s="12" t="s">
        <v>1237</v>
      </c>
      <c r="G11" s="12" t="s">
        <v>301</v>
      </c>
    </row>
    <row r="12" spans="1:7" x14ac:dyDescent="0.35">
      <c r="A12" s="12" t="s">
        <v>1238</v>
      </c>
      <c r="B12" s="12" t="s">
        <v>1191</v>
      </c>
      <c r="C12" s="12" t="s">
        <v>1239</v>
      </c>
      <c r="D12" s="12" t="s">
        <v>1240</v>
      </c>
      <c r="E12" s="12" t="s">
        <v>1241</v>
      </c>
      <c r="F12" s="12" t="s">
        <v>1242</v>
      </c>
      <c r="G12" s="12" t="s">
        <v>301</v>
      </c>
    </row>
    <row r="13" spans="1:7" ht="25" x14ac:dyDescent="0.35">
      <c r="A13" s="12" t="s">
        <v>1243</v>
      </c>
      <c r="B13" s="12" t="s">
        <v>1244</v>
      </c>
      <c r="C13" s="12" t="s">
        <v>1245</v>
      </c>
      <c r="D13" s="12" t="s">
        <v>1246</v>
      </c>
      <c r="E13" s="12" t="s">
        <v>1247</v>
      </c>
      <c r="F13" s="12" t="s">
        <v>1248</v>
      </c>
      <c r="G13" s="12" t="s">
        <v>294</v>
      </c>
    </row>
    <row r="14" spans="1:7" x14ac:dyDescent="0.35">
      <c r="A14" s="12" t="s">
        <v>1249</v>
      </c>
      <c r="B14" s="12" t="s">
        <v>1185</v>
      </c>
      <c r="C14" s="12" t="s">
        <v>1250</v>
      </c>
      <c r="D14" s="12" t="s">
        <v>1251</v>
      </c>
      <c r="E14" s="12" t="s">
        <v>1252</v>
      </c>
      <c r="F14" s="12" t="s">
        <v>1253</v>
      </c>
      <c r="G14" s="12" t="s">
        <v>314</v>
      </c>
    </row>
    <row r="15" spans="1:7" x14ac:dyDescent="0.35">
      <c r="A15" s="12" t="s">
        <v>1254</v>
      </c>
      <c r="B15" s="12" t="s">
        <v>1191</v>
      </c>
      <c r="C15" s="12" t="s">
        <v>1255</v>
      </c>
      <c r="D15" s="12" t="s">
        <v>1256</v>
      </c>
      <c r="E15" s="12" t="s">
        <v>1257</v>
      </c>
      <c r="F15" s="12" t="s">
        <v>1258</v>
      </c>
      <c r="G15" s="12" t="s">
        <v>326</v>
      </c>
    </row>
    <row r="16" spans="1:7" ht="25" x14ac:dyDescent="0.35">
      <c r="A16" s="12" t="s">
        <v>1259</v>
      </c>
      <c r="B16" s="12" t="s">
        <v>1191</v>
      </c>
      <c r="C16" s="12" t="s">
        <v>1260</v>
      </c>
      <c r="D16" s="12" t="s">
        <v>1261</v>
      </c>
      <c r="E16" s="12" t="s">
        <v>1262</v>
      </c>
      <c r="F16" s="12" t="s">
        <v>1263</v>
      </c>
      <c r="G16" s="12" t="s">
        <v>1029</v>
      </c>
    </row>
    <row r="17" spans="1:7" x14ac:dyDescent="0.35">
      <c r="A17" s="12" t="s">
        <v>1051</v>
      </c>
      <c r="B17" s="12" t="s">
        <v>1185</v>
      </c>
      <c r="C17" s="12" t="s">
        <v>1264</v>
      </c>
      <c r="D17" s="12" t="s">
        <v>1265</v>
      </c>
      <c r="E17" s="12" t="s">
        <v>1266</v>
      </c>
      <c r="F17" s="12" t="s">
        <v>1267</v>
      </c>
      <c r="G17" s="12" t="s">
        <v>1051</v>
      </c>
    </row>
    <row r="19" spans="1:7" ht="27.75" customHeight="1" x14ac:dyDescent="0.35">
      <c r="A19" s="1" t="s">
        <v>1268</v>
      </c>
      <c r="B19" s="1"/>
      <c r="C19" s="1"/>
      <c r="D19" s="1"/>
      <c r="E19" s="1"/>
      <c r="F19" s="1"/>
      <c r="G19" s="1"/>
    </row>
  </sheetData>
  <autoFilter ref="A1:G17" xr:uid="{00000000-0009-0000-0000-00000F000000}"/>
  <mergeCells count="1">
    <mergeCell ref="A19:G19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2E7D32"/>
  </sheetPr>
  <dimension ref="A1:F19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8" customWidth="1"/>
    <col min="2" max="2" width="20" customWidth="1"/>
    <col min="3" max="3" width="44" customWidth="1"/>
    <col min="4" max="4" width="50" customWidth="1"/>
    <col min="5" max="5" width="22" customWidth="1"/>
    <col min="6" max="6" width="40" customWidth="1"/>
  </cols>
  <sheetData>
    <row r="1" spans="1:6" ht="27.75" customHeight="1" x14ac:dyDescent="0.35">
      <c r="A1" s="11" t="s">
        <v>1269</v>
      </c>
      <c r="B1" s="11" t="s">
        <v>1270</v>
      </c>
      <c r="C1" s="11" t="s">
        <v>1271</v>
      </c>
      <c r="D1" s="11" t="s">
        <v>1272</v>
      </c>
      <c r="E1" s="11" t="s">
        <v>1273</v>
      </c>
      <c r="F1" s="11" t="s">
        <v>620</v>
      </c>
    </row>
    <row r="2" spans="1:6" ht="25" x14ac:dyDescent="0.35">
      <c r="A2" s="12" t="s">
        <v>1274</v>
      </c>
      <c r="B2" s="12" t="s">
        <v>1275</v>
      </c>
      <c r="C2" s="12" t="s">
        <v>1276</v>
      </c>
      <c r="D2" s="12" t="s">
        <v>1277</v>
      </c>
      <c r="E2" s="12" t="s">
        <v>1278</v>
      </c>
      <c r="F2" s="12" t="s">
        <v>1279</v>
      </c>
    </row>
    <row r="3" spans="1:6" x14ac:dyDescent="0.35">
      <c r="A3" s="12" t="s">
        <v>1280</v>
      </c>
      <c r="B3" s="12" t="s">
        <v>1281</v>
      </c>
      <c r="C3" s="12" t="s">
        <v>1282</v>
      </c>
      <c r="D3" s="12" t="s">
        <v>1283</v>
      </c>
      <c r="E3" s="12" t="s">
        <v>1284</v>
      </c>
      <c r="F3" s="12" t="s">
        <v>1285</v>
      </c>
    </row>
    <row r="4" spans="1:6" x14ac:dyDescent="0.35">
      <c r="A4" s="12" t="s">
        <v>1286</v>
      </c>
      <c r="B4" s="12" t="s">
        <v>1287</v>
      </c>
      <c r="C4" s="12" t="s">
        <v>1288</v>
      </c>
      <c r="D4" s="12" t="s">
        <v>1289</v>
      </c>
      <c r="E4" s="12" t="s">
        <v>1290</v>
      </c>
      <c r="F4" s="12" t="s">
        <v>1291</v>
      </c>
    </row>
    <row r="5" spans="1:6" x14ac:dyDescent="0.35">
      <c r="A5" s="12" t="s">
        <v>1292</v>
      </c>
      <c r="B5" s="12" t="s">
        <v>1293</v>
      </c>
      <c r="C5" s="12" t="s">
        <v>1294</v>
      </c>
      <c r="D5" s="12" t="s">
        <v>1295</v>
      </c>
      <c r="E5" s="12" t="s">
        <v>1296</v>
      </c>
      <c r="F5" s="12" t="s">
        <v>1297</v>
      </c>
    </row>
    <row r="6" spans="1:6" x14ac:dyDescent="0.35">
      <c r="A6" s="12" t="s">
        <v>1298</v>
      </c>
      <c r="B6" s="12" t="s">
        <v>1299</v>
      </c>
      <c r="C6" s="12" t="s">
        <v>1300</v>
      </c>
      <c r="D6" s="12" t="s">
        <v>1301</v>
      </c>
      <c r="E6" s="12" t="s">
        <v>1302</v>
      </c>
      <c r="F6" s="12" t="s">
        <v>1303</v>
      </c>
    </row>
    <row r="7" spans="1:6" ht="25" x14ac:dyDescent="0.35">
      <c r="A7" s="12" t="s">
        <v>1304</v>
      </c>
      <c r="B7" s="12" t="s">
        <v>1305</v>
      </c>
      <c r="C7" s="12" t="s">
        <v>1306</v>
      </c>
      <c r="D7" s="12" t="s">
        <v>1307</v>
      </c>
      <c r="E7" s="12" t="s">
        <v>1308</v>
      </c>
      <c r="F7" s="12" t="s">
        <v>1309</v>
      </c>
    </row>
    <row r="8" spans="1:6" x14ac:dyDescent="0.35">
      <c r="A8" s="12" t="s">
        <v>1310</v>
      </c>
      <c r="B8" s="12" t="s">
        <v>1299</v>
      </c>
      <c r="C8" s="12" t="s">
        <v>1311</v>
      </c>
      <c r="D8" s="12" t="s">
        <v>1312</v>
      </c>
      <c r="E8" s="12" t="s">
        <v>1302</v>
      </c>
      <c r="F8" s="12" t="s">
        <v>1313</v>
      </c>
    </row>
    <row r="9" spans="1:6" x14ac:dyDescent="0.35">
      <c r="A9" s="12" t="s">
        <v>1314</v>
      </c>
      <c r="B9" s="12" t="s">
        <v>802</v>
      </c>
      <c r="C9" s="12" t="s">
        <v>1315</v>
      </c>
      <c r="D9" s="12" t="s">
        <v>1316</v>
      </c>
      <c r="E9" s="12" t="s">
        <v>1284</v>
      </c>
      <c r="F9" s="12" t="s">
        <v>1317</v>
      </c>
    </row>
    <row r="10" spans="1:6" x14ac:dyDescent="0.35">
      <c r="A10" s="12" t="s">
        <v>1318</v>
      </c>
      <c r="B10" s="12" t="s">
        <v>1319</v>
      </c>
      <c r="C10" s="12" t="s">
        <v>1320</v>
      </c>
      <c r="D10" s="12" t="s">
        <v>1321</v>
      </c>
      <c r="E10" s="12" t="s">
        <v>1302</v>
      </c>
      <c r="F10" s="12" t="s">
        <v>1322</v>
      </c>
    </row>
    <row r="11" spans="1:6" ht="25" x14ac:dyDescent="0.35">
      <c r="A11" s="12" t="s">
        <v>1323</v>
      </c>
      <c r="B11" s="12" t="s">
        <v>1324</v>
      </c>
      <c r="C11" s="12" t="s">
        <v>1325</v>
      </c>
      <c r="D11" s="12" t="s">
        <v>1326</v>
      </c>
      <c r="E11" s="12" t="s">
        <v>1302</v>
      </c>
      <c r="F11" s="12" t="s">
        <v>1327</v>
      </c>
    </row>
    <row r="12" spans="1:6" x14ac:dyDescent="0.35">
      <c r="A12" s="12" t="s">
        <v>1328</v>
      </c>
      <c r="B12" s="12" t="s">
        <v>1329</v>
      </c>
      <c r="C12" s="12" t="s">
        <v>1330</v>
      </c>
      <c r="D12" s="12" t="s">
        <v>1331</v>
      </c>
      <c r="E12" s="12" t="s">
        <v>1284</v>
      </c>
      <c r="F12" s="12" t="s">
        <v>1332</v>
      </c>
    </row>
    <row r="13" spans="1:6" ht="25" x14ac:dyDescent="0.35">
      <c r="A13" s="12" t="s">
        <v>1333</v>
      </c>
      <c r="B13" s="12" t="s">
        <v>809</v>
      </c>
      <c r="C13" s="12" t="s">
        <v>1334</v>
      </c>
      <c r="D13" s="12" t="s">
        <v>1335</v>
      </c>
      <c r="E13" s="12" t="s">
        <v>1336</v>
      </c>
      <c r="F13" s="12" t="s">
        <v>1337</v>
      </c>
    </row>
    <row r="14" spans="1:6" x14ac:dyDescent="0.35">
      <c r="A14" s="12" t="s">
        <v>1338</v>
      </c>
      <c r="B14" s="12" t="s">
        <v>1339</v>
      </c>
      <c r="C14" s="12" t="s">
        <v>1340</v>
      </c>
      <c r="D14" s="12" t="s">
        <v>1341</v>
      </c>
      <c r="E14" s="12" t="s">
        <v>1284</v>
      </c>
      <c r="F14" s="12" t="s">
        <v>1342</v>
      </c>
    </row>
    <row r="15" spans="1:6" x14ac:dyDescent="0.35">
      <c r="A15" s="12" t="s">
        <v>1343</v>
      </c>
      <c r="B15" s="12" t="s">
        <v>1344</v>
      </c>
      <c r="C15" s="12" t="s">
        <v>1345</v>
      </c>
      <c r="D15" s="12" t="s">
        <v>1346</v>
      </c>
      <c r="E15" s="12" t="s">
        <v>1296</v>
      </c>
      <c r="F15" s="12" t="s">
        <v>1347</v>
      </c>
    </row>
    <row r="16" spans="1:6" x14ac:dyDescent="0.35">
      <c r="A16" s="12" t="s">
        <v>1348</v>
      </c>
      <c r="B16" s="12" t="s">
        <v>458</v>
      </c>
      <c r="C16" s="12" t="s">
        <v>1349</v>
      </c>
      <c r="D16" s="12" t="s">
        <v>1350</v>
      </c>
      <c r="E16" s="12" t="s">
        <v>1284</v>
      </c>
      <c r="F16" s="12" t="s">
        <v>1351</v>
      </c>
    </row>
    <row r="17" spans="1:6" ht="37.5" x14ac:dyDescent="0.35">
      <c r="A17" s="12" t="s">
        <v>1352</v>
      </c>
      <c r="B17" s="12" t="s">
        <v>462</v>
      </c>
      <c r="C17" s="12" t="s">
        <v>1353</v>
      </c>
      <c r="D17" s="12" t="s">
        <v>1354</v>
      </c>
      <c r="E17" s="12" t="s">
        <v>1296</v>
      </c>
      <c r="F17" s="12" t="s">
        <v>1355</v>
      </c>
    </row>
    <row r="19" spans="1:6" ht="39" customHeight="1" x14ac:dyDescent="0.35">
      <c r="A19" s="1" t="s">
        <v>1356</v>
      </c>
      <c r="B19" s="1"/>
      <c r="C19" s="1"/>
      <c r="D19" s="1"/>
      <c r="E19" s="1"/>
      <c r="F19" s="1"/>
    </row>
  </sheetData>
  <autoFilter ref="A1:F17" xr:uid="{00000000-0009-0000-0000-000010000000}"/>
  <mergeCells count="1">
    <mergeCell ref="A19:F19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2E7D32"/>
  </sheetPr>
  <dimension ref="A1:E9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2" width="40" customWidth="1"/>
    <col min="3" max="3" width="84" customWidth="1"/>
    <col min="4" max="4" width="40" customWidth="1"/>
    <col min="5" max="5" width="44" customWidth="1"/>
  </cols>
  <sheetData>
    <row r="1" spans="1:5" ht="27.75" customHeight="1" x14ac:dyDescent="0.35">
      <c r="A1" s="11" t="s">
        <v>1357</v>
      </c>
      <c r="B1" s="11" t="s">
        <v>1358</v>
      </c>
      <c r="C1" s="11" t="s">
        <v>1359</v>
      </c>
      <c r="D1" s="11" t="s">
        <v>1360</v>
      </c>
      <c r="E1" s="11" t="s">
        <v>1361</v>
      </c>
    </row>
    <row r="2" spans="1:5" ht="50" x14ac:dyDescent="0.35">
      <c r="A2" s="12" t="s">
        <v>1362</v>
      </c>
      <c r="B2" s="12" t="s">
        <v>1363</v>
      </c>
      <c r="C2" s="12" t="s">
        <v>1364</v>
      </c>
      <c r="D2" s="12" t="s">
        <v>1365</v>
      </c>
      <c r="E2" s="12" t="s">
        <v>1366</v>
      </c>
    </row>
    <row r="3" spans="1:5" ht="37.5" x14ac:dyDescent="0.35">
      <c r="A3" s="12" t="s">
        <v>1367</v>
      </c>
      <c r="B3" s="12" t="s">
        <v>1368</v>
      </c>
      <c r="C3" s="12" t="s">
        <v>1369</v>
      </c>
      <c r="D3" s="12" t="s">
        <v>1370</v>
      </c>
      <c r="E3" s="12" t="s">
        <v>1371</v>
      </c>
    </row>
    <row r="4" spans="1:5" ht="50" x14ac:dyDescent="0.35">
      <c r="A4" s="12" t="s">
        <v>1372</v>
      </c>
      <c r="B4" s="12" t="s">
        <v>1373</v>
      </c>
      <c r="C4" s="12" t="s">
        <v>1374</v>
      </c>
      <c r="D4" s="12" t="s">
        <v>1375</v>
      </c>
      <c r="E4" s="12" t="s">
        <v>1376</v>
      </c>
    </row>
    <row r="5" spans="1:5" ht="50" x14ac:dyDescent="0.35">
      <c r="A5" s="12" t="s">
        <v>1377</v>
      </c>
      <c r="B5" s="12" t="s">
        <v>1378</v>
      </c>
      <c r="C5" s="12" t="s">
        <v>1379</v>
      </c>
      <c r="D5" s="12" t="s">
        <v>1380</v>
      </c>
      <c r="E5" s="12" t="s">
        <v>1381</v>
      </c>
    </row>
    <row r="6" spans="1:5" ht="50" x14ac:dyDescent="0.35">
      <c r="A6" s="12" t="s">
        <v>1382</v>
      </c>
      <c r="B6" s="12" t="s">
        <v>1383</v>
      </c>
      <c r="C6" s="12" t="s">
        <v>1384</v>
      </c>
      <c r="D6" s="12" t="s">
        <v>1385</v>
      </c>
      <c r="E6" s="12" t="s">
        <v>1386</v>
      </c>
    </row>
    <row r="7" spans="1:5" ht="37.5" x14ac:dyDescent="0.35">
      <c r="A7" s="12" t="s">
        <v>1387</v>
      </c>
      <c r="B7" s="12" t="s">
        <v>1388</v>
      </c>
      <c r="C7" s="12" t="s">
        <v>1389</v>
      </c>
      <c r="D7" s="12" t="s">
        <v>1390</v>
      </c>
      <c r="E7" s="12" t="s">
        <v>1391</v>
      </c>
    </row>
    <row r="9" spans="1:5" ht="27.75" customHeight="1" x14ac:dyDescent="0.35">
      <c r="A9" s="1" t="s">
        <v>1392</v>
      </c>
      <c r="B9" s="1"/>
      <c r="C9" s="1"/>
      <c r="D9" s="1"/>
      <c r="E9" s="1"/>
    </row>
  </sheetData>
  <autoFilter ref="A1:E7" xr:uid="{00000000-0009-0000-0000-000011000000}"/>
  <mergeCells count="1">
    <mergeCell ref="A9:E9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2E7D32"/>
  </sheetPr>
  <dimension ref="A1:F1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4" customWidth="1"/>
    <col min="2" max="2" width="44" customWidth="1"/>
    <col min="3" max="3" width="52" customWidth="1"/>
    <col min="4" max="4" width="42" customWidth="1"/>
    <col min="5" max="5" width="36" customWidth="1"/>
    <col min="6" max="6" width="10" customWidth="1"/>
  </cols>
  <sheetData>
    <row r="1" spans="1:6" ht="27.75" customHeight="1" x14ac:dyDescent="0.35">
      <c r="A1" s="11" t="s">
        <v>1393</v>
      </c>
      <c r="B1" s="11" t="s">
        <v>1008</v>
      </c>
      <c r="C1" s="11" t="s">
        <v>1394</v>
      </c>
      <c r="D1" s="11" t="s">
        <v>1395</v>
      </c>
      <c r="E1" s="11" t="s">
        <v>1396</v>
      </c>
      <c r="F1" s="11" t="s">
        <v>512</v>
      </c>
    </row>
    <row r="2" spans="1:6" ht="25" x14ac:dyDescent="0.35">
      <c r="A2" s="12" t="s">
        <v>1397</v>
      </c>
      <c r="B2" s="12" t="s">
        <v>1398</v>
      </c>
      <c r="C2" s="12" t="s">
        <v>1399</v>
      </c>
      <c r="D2" s="12" t="s">
        <v>1400</v>
      </c>
      <c r="E2" s="12" t="s">
        <v>388</v>
      </c>
      <c r="F2" s="12" t="s">
        <v>529</v>
      </c>
    </row>
    <row r="3" spans="1:6" ht="25" x14ac:dyDescent="0.35">
      <c r="A3" s="12" t="s">
        <v>1401</v>
      </c>
      <c r="B3" s="12" t="s">
        <v>1402</v>
      </c>
      <c r="C3" s="12" t="s">
        <v>1403</v>
      </c>
      <c r="D3" s="12" t="s">
        <v>1404</v>
      </c>
      <c r="E3" s="12" t="s">
        <v>1405</v>
      </c>
      <c r="F3" s="12" t="s">
        <v>529</v>
      </c>
    </row>
    <row r="4" spans="1:6" ht="25" x14ac:dyDescent="0.35">
      <c r="A4" s="12" t="s">
        <v>1406</v>
      </c>
      <c r="B4" s="12" t="s">
        <v>1407</v>
      </c>
      <c r="C4" s="12" t="s">
        <v>1408</v>
      </c>
      <c r="D4" s="12" t="s">
        <v>1409</v>
      </c>
      <c r="E4" s="12" t="s">
        <v>1410</v>
      </c>
      <c r="F4" s="12" t="s">
        <v>529</v>
      </c>
    </row>
    <row r="5" spans="1:6" ht="25" x14ac:dyDescent="0.35">
      <c r="A5" s="12" t="s">
        <v>1411</v>
      </c>
      <c r="B5" s="12" t="s">
        <v>1412</v>
      </c>
      <c r="C5" s="12" t="s">
        <v>1413</v>
      </c>
      <c r="D5" s="12" t="s">
        <v>1414</v>
      </c>
      <c r="E5" s="12" t="s">
        <v>1415</v>
      </c>
      <c r="F5" s="12" t="s">
        <v>529</v>
      </c>
    </row>
    <row r="6" spans="1:6" ht="25" x14ac:dyDescent="0.35">
      <c r="A6" s="12" t="s">
        <v>1416</v>
      </c>
      <c r="B6" s="12" t="s">
        <v>1417</v>
      </c>
      <c r="C6" s="12" t="s">
        <v>1418</v>
      </c>
      <c r="D6" s="12" t="s">
        <v>1419</v>
      </c>
      <c r="E6" s="12" t="s">
        <v>1420</v>
      </c>
      <c r="F6" s="12" t="s">
        <v>1421</v>
      </c>
    </row>
    <row r="7" spans="1:6" ht="25" x14ac:dyDescent="0.35">
      <c r="A7" s="12" t="s">
        <v>1422</v>
      </c>
      <c r="B7" s="12" t="s">
        <v>1423</v>
      </c>
      <c r="C7" s="12" t="s">
        <v>1424</v>
      </c>
      <c r="D7" s="12" t="s">
        <v>1425</v>
      </c>
      <c r="E7" s="12" t="s">
        <v>1426</v>
      </c>
      <c r="F7" s="12" t="s">
        <v>535</v>
      </c>
    </row>
    <row r="8" spans="1:6" ht="25" x14ac:dyDescent="0.35">
      <c r="A8" s="12" t="s">
        <v>1427</v>
      </c>
      <c r="B8" s="12" t="s">
        <v>1428</v>
      </c>
      <c r="C8" s="12" t="s">
        <v>1429</v>
      </c>
      <c r="D8" s="12" t="s">
        <v>1430</v>
      </c>
      <c r="E8" s="12" t="s">
        <v>1431</v>
      </c>
      <c r="F8" s="12" t="s">
        <v>1421</v>
      </c>
    </row>
    <row r="9" spans="1:6" ht="25" x14ac:dyDescent="0.35">
      <c r="A9" s="12" t="s">
        <v>1432</v>
      </c>
      <c r="B9" s="12" t="s">
        <v>1433</v>
      </c>
      <c r="C9" s="12" t="s">
        <v>1434</v>
      </c>
      <c r="D9" s="12" t="s">
        <v>1435</v>
      </c>
      <c r="E9" s="12" t="s">
        <v>388</v>
      </c>
      <c r="F9" s="12" t="s">
        <v>541</v>
      </c>
    </row>
    <row r="11" spans="1:6" ht="39" customHeight="1" x14ac:dyDescent="0.35">
      <c r="A11" s="1" t="s">
        <v>1436</v>
      </c>
      <c r="B11" s="1"/>
      <c r="C11" s="1"/>
      <c r="D11" s="1"/>
      <c r="E11" s="1"/>
      <c r="F11" s="1"/>
    </row>
  </sheetData>
  <autoFilter ref="A1:F9" xr:uid="{00000000-0009-0000-0000-000012000000}"/>
  <mergeCells count="1"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2E7D32"/>
  </sheetPr>
  <dimension ref="A1:H1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9" customWidth="1"/>
    <col min="2" max="2" width="12" customWidth="1"/>
    <col min="3" max="3" width="34" customWidth="1"/>
    <col min="4" max="5" width="44" customWidth="1"/>
    <col min="6" max="6" width="56" customWidth="1"/>
    <col min="7" max="7" width="44" customWidth="1"/>
    <col min="8" max="8" width="12" customWidth="1"/>
  </cols>
  <sheetData>
    <row r="1" spans="1:8" ht="27.75" customHeight="1" x14ac:dyDescent="0.35">
      <c r="A1" s="11" t="s">
        <v>1437</v>
      </c>
      <c r="B1" s="11" t="s">
        <v>1438</v>
      </c>
      <c r="C1" s="11" t="s">
        <v>1439</v>
      </c>
      <c r="D1" s="11" t="s">
        <v>1440</v>
      </c>
      <c r="E1" s="11" t="s">
        <v>1441</v>
      </c>
      <c r="F1" s="11" t="s">
        <v>1442</v>
      </c>
      <c r="G1" s="11" t="s">
        <v>1443</v>
      </c>
      <c r="H1" s="11" t="s">
        <v>254</v>
      </c>
    </row>
    <row r="2" spans="1:8" ht="25" x14ac:dyDescent="0.35">
      <c r="A2" s="12" t="s">
        <v>1444</v>
      </c>
      <c r="B2" s="12" t="s">
        <v>1445</v>
      </c>
      <c r="C2" s="12" t="s">
        <v>1446</v>
      </c>
      <c r="D2" s="12" t="s">
        <v>1447</v>
      </c>
      <c r="E2" s="12" t="s">
        <v>1448</v>
      </c>
      <c r="F2" s="12" t="s">
        <v>1449</v>
      </c>
      <c r="G2" s="12" t="s">
        <v>1450</v>
      </c>
      <c r="H2" s="12" t="s">
        <v>1451</v>
      </c>
    </row>
    <row r="3" spans="1:8" ht="25" x14ac:dyDescent="0.35">
      <c r="A3" s="12" t="s">
        <v>1452</v>
      </c>
      <c r="B3" s="12" t="s">
        <v>1445</v>
      </c>
      <c r="C3" s="12" t="s">
        <v>1453</v>
      </c>
      <c r="D3" s="12" t="s">
        <v>1454</v>
      </c>
      <c r="E3" s="12" t="s">
        <v>1455</v>
      </c>
      <c r="F3" s="12" t="s">
        <v>1456</v>
      </c>
      <c r="G3" s="12" t="s">
        <v>1457</v>
      </c>
      <c r="H3" s="12" t="s">
        <v>1451</v>
      </c>
    </row>
    <row r="4" spans="1:8" ht="25" x14ac:dyDescent="0.35">
      <c r="A4" s="12" t="s">
        <v>1458</v>
      </c>
      <c r="B4" s="12" t="s">
        <v>1445</v>
      </c>
      <c r="C4" s="12" t="s">
        <v>1459</v>
      </c>
      <c r="D4" s="12" t="s">
        <v>1460</v>
      </c>
      <c r="E4" s="12" t="s">
        <v>1461</v>
      </c>
      <c r="F4" s="12" t="s">
        <v>1462</v>
      </c>
      <c r="G4" s="12" t="s">
        <v>1463</v>
      </c>
      <c r="H4" s="12" t="s">
        <v>1451</v>
      </c>
    </row>
    <row r="5" spans="1:8" ht="37.5" x14ac:dyDescent="0.35">
      <c r="A5" s="12" t="s">
        <v>1464</v>
      </c>
      <c r="B5" s="12" t="s">
        <v>1445</v>
      </c>
      <c r="C5" s="12" t="s">
        <v>1465</v>
      </c>
      <c r="D5" s="12" t="s">
        <v>1466</v>
      </c>
      <c r="E5" s="12" t="s">
        <v>1467</v>
      </c>
      <c r="F5" s="12" t="s">
        <v>1468</v>
      </c>
      <c r="G5" s="12" t="s">
        <v>1469</v>
      </c>
      <c r="H5" s="12" t="s">
        <v>1451</v>
      </c>
    </row>
    <row r="6" spans="1:8" ht="37.5" x14ac:dyDescent="0.35">
      <c r="A6" s="12" t="s">
        <v>1470</v>
      </c>
      <c r="B6" s="12" t="s">
        <v>1445</v>
      </c>
      <c r="C6" s="12" t="s">
        <v>1471</v>
      </c>
      <c r="D6" s="12" t="s">
        <v>1472</v>
      </c>
      <c r="E6" s="12" t="s">
        <v>1473</v>
      </c>
      <c r="F6" s="12" t="s">
        <v>1474</v>
      </c>
      <c r="G6" s="12" t="s">
        <v>1475</v>
      </c>
      <c r="H6" s="12" t="s">
        <v>1451</v>
      </c>
    </row>
    <row r="7" spans="1:8" ht="25" x14ac:dyDescent="0.35">
      <c r="A7" s="12" t="s">
        <v>1476</v>
      </c>
      <c r="B7" s="12" t="s">
        <v>1445</v>
      </c>
      <c r="C7" s="12" t="s">
        <v>1477</v>
      </c>
      <c r="D7" s="12" t="s">
        <v>1478</v>
      </c>
      <c r="E7" s="12" t="s">
        <v>1479</v>
      </c>
      <c r="F7" s="12" t="s">
        <v>1480</v>
      </c>
      <c r="G7" s="12" t="s">
        <v>1481</v>
      </c>
      <c r="H7" s="12" t="s">
        <v>1451</v>
      </c>
    </row>
    <row r="8" spans="1:8" ht="25" x14ac:dyDescent="0.35">
      <c r="A8" s="12" t="s">
        <v>1482</v>
      </c>
      <c r="B8" s="12" t="s">
        <v>1445</v>
      </c>
      <c r="C8" s="12" t="s">
        <v>1483</v>
      </c>
      <c r="D8" s="12" t="s">
        <v>1484</v>
      </c>
      <c r="E8" s="12" t="s">
        <v>1485</v>
      </c>
      <c r="F8" s="12" t="s">
        <v>1486</v>
      </c>
      <c r="G8" s="12" t="s">
        <v>1487</v>
      </c>
      <c r="H8" s="12" t="s">
        <v>1451</v>
      </c>
    </row>
    <row r="9" spans="1:8" ht="25" x14ac:dyDescent="0.35">
      <c r="A9" s="12" t="s">
        <v>1488</v>
      </c>
      <c r="B9" s="12" t="s">
        <v>388</v>
      </c>
      <c r="C9" s="12" t="s">
        <v>1489</v>
      </c>
      <c r="D9" s="12" t="s">
        <v>1490</v>
      </c>
      <c r="E9" s="12" t="s">
        <v>1491</v>
      </c>
      <c r="F9" s="12" t="s">
        <v>1492</v>
      </c>
      <c r="G9" s="12" t="s">
        <v>1493</v>
      </c>
      <c r="H9" s="12" t="s">
        <v>1494</v>
      </c>
    </row>
    <row r="11" spans="1:8" ht="27.75" customHeight="1" x14ac:dyDescent="0.35">
      <c r="A11" s="1" t="s">
        <v>1495</v>
      </c>
      <c r="B11" s="1"/>
      <c r="C11" s="1"/>
      <c r="D11" s="1"/>
      <c r="E11" s="1"/>
      <c r="F11" s="1"/>
      <c r="G11" s="1"/>
      <c r="H11" s="1"/>
    </row>
  </sheetData>
  <autoFilter ref="A1:H9" xr:uid="{00000000-0009-0000-0000-000013000000}"/>
  <mergeCells count="1">
    <mergeCell ref="A11:H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6A1B9A"/>
  </sheetPr>
  <dimension ref="A1:H2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18" customWidth="1"/>
    <col min="3" max="3" width="28" customWidth="1"/>
    <col min="4" max="4" width="44" customWidth="1"/>
    <col min="5" max="5" width="56" customWidth="1"/>
    <col min="6" max="6" width="30" customWidth="1"/>
    <col min="7" max="7" width="40" customWidth="1"/>
    <col min="8" max="8" width="36" customWidth="1"/>
  </cols>
  <sheetData>
    <row r="1" spans="1:8" ht="27.75" customHeight="1" x14ac:dyDescent="0.35">
      <c r="A1" s="11" t="s">
        <v>1496</v>
      </c>
      <c r="B1" s="11" t="s">
        <v>1497</v>
      </c>
      <c r="C1" s="11" t="s">
        <v>1498</v>
      </c>
      <c r="D1" s="11" t="s">
        <v>1008</v>
      </c>
      <c r="E1" s="11" t="s">
        <v>1499</v>
      </c>
      <c r="F1" s="11" t="s">
        <v>1500</v>
      </c>
      <c r="G1" s="11" t="s">
        <v>1501</v>
      </c>
      <c r="H1" s="11" t="s">
        <v>620</v>
      </c>
    </row>
    <row r="2" spans="1:8" ht="25" x14ac:dyDescent="0.35">
      <c r="A2" s="12" t="s">
        <v>1502</v>
      </c>
      <c r="B2" s="12" t="s">
        <v>1503</v>
      </c>
      <c r="C2" s="12" t="s">
        <v>1504</v>
      </c>
      <c r="D2" s="12" t="s">
        <v>1505</v>
      </c>
      <c r="E2" s="12" t="s">
        <v>1506</v>
      </c>
      <c r="F2" s="12" t="s">
        <v>1507</v>
      </c>
      <c r="G2" s="12" t="s">
        <v>1508</v>
      </c>
      <c r="H2" s="12" t="s">
        <v>1509</v>
      </c>
    </row>
    <row r="3" spans="1:8" x14ac:dyDescent="0.35">
      <c r="A3" s="12" t="s">
        <v>1510</v>
      </c>
      <c r="B3" s="12" t="s">
        <v>257</v>
      </c>
      <c r="C3" s="12" t="s">
        <v>1511</v>
      </c>
      <c r="D3" s="12" t="s">
        <v>1512</v>
      </c>
      <c r="E3" s="12" t="s">
        <v>1513</v>
      </c>
      <c r="F3" s="12" t="s">
        <v>1514</v>
      </c>
      <c r="G3" s="12" t="s">
        <v>1515</v>
      </c>
      <c r="H3" s="12" t="s">
        <v>1516</v>
      </c>
    </row>
    <row r="4" spans="1:8" x14ac:dyDescent="0.35">
      <c r="A4" s="12" t="s">
        <v>1517</v>
      </c>
      <c r="B4" s="12" t="s">
        <v>1518</v>
      </c>
      <c r="C4" s="12" t="s">
        <v>1519</v>
      </c>
      <c r="D4" s="12" t="s">
        <v>1520</v>
      </c>
      <c r="E4" s="12" t="s">
        <v>1521</v>
      </c>
      <c r="F4" s="12" t="s">
        <v>1522</v>
      </c>
      <c r="G4" s="12" t="s">
        <v>1523</v>
      </c>
      <c r="H4" s="12" t="s">
        <v>1524</v>
      </c>
    </row>
    <row r="5" spans="1:8" ht="25" x14ac:dyDescent="0.35">
      <c r="A5" s="12" t="s">
        <v>1525</v>
      </c>
      <c r="B5" s="12" t="s">
        <v>1526</v>
      </c>
      <c r="C5" s="12" t="s">
        <v>1527</v>
      </c>
      <c r="D5" s="12" t="s">
        <v>1528</v>
      </c>
      <c r="E5" s="12" t="s">
        <v>1529</v>
      </c>
      <c r="F5" s="12" t="s">
        <v>1530</v>
      </c>
      <c r="G5" s="12" t="s">
        <v>1531</v>
      </c>
      <c r="H5" s="12" t="s">
        <v>1532</v>
      </c>
    </row>
    <row r="6" spans="1:8" ht="25" x14ac:dyDescent="0.35">
      <c r="A6" s="12" t="s">
        <v>1533</v>
      </c>
      <c r="B6" s="12" t="s">
        <v>1526</v>
      </c>
      <c r="C6" s="12" t="s">
        <v>1534</v>
      </c>
      <c r="D6" s="12" t="s">
        <v>1535</v>
      </c>
      <c r="E6" s="12" t="s">
        <v>1536</v>
      </c>
      <c r="F6" s="12" t="s">
        <v>1537</v>
      </c>
      <c r="G6" s="12" t="s">
        <v>1538</v>
      </c>
      <c r="H6" s="12" t="s">
        <v>1539</v>
      </c>
    </row>
    <row r="7" spans="1:8" ht="25" x14ac:dyDescent="0.35">
      <c r="A7" s="12" t="s">
        <v>1540</v>
      </c>
      <c r="B7" s="12" t="s">
        <v>1526</v>
      </c>
      <c r="C7" s="12" t="s">
        <v>1541</v>
      </c>
      <c r="D7" s="12" t="s">
        <v>1542</v>
      </c>
      <c r="E7" s="12" t="s">
        <v>1543</v>
      </c>
      <c r="F7" s="12" t="s">
        <v>1544</v>
      </c>
      <c r="G7" s="12" t="s">
        <v>1545</v>
      </c>
      <c r="H7" s="12" t="s">
        <v>1546</v>
      </c>
    </row>
    <row r="8" spans="1:8" ht="25" x14ac:dyDescent="0.35">
      <c r="A8" s="12" t="s">
        <v>1547</v>
      </c>
      <c r="B8" s="12" t="s">
        <v>1218</v>
      </c>
      <c r="C8" s="12" t="s">
        <v>1548</v>
      </c>
      <c r="D8" s="12" t="s">
        <v>1549</v>
      </c>
      <c r="E8" s="12" t="s">
        <v>1550</v>
      </c>
      <c r="F8" s="12" t="s">
        <v>1551</v>
      </c>
      <c r="G8" s="12" t="s">
        <v>1552</v>
      </c>
      <c r="H8" s="12" t="s">
        <v>1553</v>
      </c>
    </row>
    <row r="9" spans="1:8" x14ac:dyDescent="0.35">
      <c r="A9" s="12" t="s">
        <v>1554</v>
      </c>
      <c r="B9" s="12" t="s">
        <v>1218</v>
      </c>
      <c r="C9" s="12" t="s">
        <v>1555</v>
      </c>
      <c r="D9" s="12" t="s">
        <v>1556</v>
      </c>
      <c r="E9" s="12" t="s">
        <v>1557</v>
      </c>
      <c r="F9" s="12" t="s">
        <v>1558</v>
      </c>
      <c r="G9" s="12" t="s">
        <v>1559</v>
      </c>
      <c r="H9" s="12" t="s">
        <v>1560</v>
      </c>
    </row>
    <row r="10" spans="1:8" x14ac:dyDescent="0.35">
      <c r="A10" s="12" t="s">
        <v>1561</v>
      </c>
      <c r="B10" s="12" t="s">
        <v>1218</v>
      </c>
      <c r="C10" s="12" t="s">
        <v>1562</v>
      </c>
      <c r="D10" s="12" t="s">
        <v>1563</v>
      </c>
      <c r="E10" s="12" t="s">
        <v>1564</v>
      </c>
      <c r="F10" s="12" t="s">
        <v>1565</v>
      </c>
      <c r="G10" s="12" t="s">
        <v>1566</v>
      </c>
      <c r="H10" s="12" t="s">
        <v>1567</v>
      </c>
    </row>
    <row r="11" spans="1:8" ht="25" x14ac:dyDescent="0.35">
      <c r="A11" s="12" t="s">
        <v>1568</v>
      </c>
      <c r="B11" s="12" t="s">
        <v>290</v>
      </c>
      <c r="C11" s="12" t="s">
        <v>1569</v>
      </c>
      <c r="D11" s="12" t="s">
        <v>1570</v>
      </c>
      <c r="E11" s="12" t="s">
        <v>1571</v>
      </c>
      <c r="F11" s="12" t="s">
        <v>1572</v>
      </c>
      <c r="G11" s="12" t="s">
        <v>1573</v>
      </c>
      <c r="H11" s="12" t="s">
        <v>1574</v>
      </c>
    </row>
    <row r="12" spans="1:8" ht="25" x14ac:dyDescent="0.35">
      <c r="A12" s="12" t="s">
        <v>1575</v>
      </c>
      <c r="B12" s="12" t="s">
        <v>294</v>
      </c>
      <c r="C12" s="12" t="s">
        <v>1576</v>
      </c>
      <c r="D12" s="12" t="s">
        <v>1577</v>
      </c>
      <c r="E12" s="12" t="s">
        <v>1578</v>
      </c>
      <c r="F12" s="12" t="s">
        <v>1579</v>
      </c>
      <c r="G12" s="12" t="s">
        <v>1580</v>
      </c>
      <c r="H12" s="12" t="s">
        <v>1581</v>
      </c>
    </row>
    <row r="13" spans="1:8" ht="25" x14ac:dyDescent="0.35">
      <c r="A13" s="12" t="s">
        <v>1582</v>
      </c>
      <c r="B13" s="12" t="s">
        <v>301</v>
      </c>
      <c r="C13" s="12" t="s">
        <v>1583</v>
      </c>
      <c r="D13" s="12" t="s">
        <v>1584</v>
      </c>
      <c r="E13" s="12" t="s">
        <v>1585</v>
      </c>
      <c r="F13" s="12" t="s">
        <v>1586</v>
      </c>
      <c r="G13" s="12" t="s">
        <v>1587</v>
      </c>
      <c r="H13" s="12" t="s">
        <v>1588</v>
      </c>
    </row>
    <row r="14" spans="1:8" ht="25" x14ac:dyDescent="0.35">
      <c r="A14" s="12" t="s">
        <v>1589</v>
      </c>
      <c r="B14" s="12" t="s">
        <v>301</v>
      </c>
      <c r="C14" s="12" t="s">
        <v>1590</v>
      </c>
      <c r="D14" s="12" t="s">
        <v>1591</v>
      </c>
      <c r="E14" s="12" t="s">
        <v>1592</v>
      </c>
      <c r="F14" s="12" t="s">
        <v>1593</v>
      </c>
      <c r="G14" s="12" t="s">
        <v>1594</v>
      </c>
      <c r="H14" s="12" t="s">
        <v>1595</v>
      </c>
    </row>
    <row r="15" spans="1:8" ht="25" x14ac:dyDescent="0.35">
      <c r="A15" s="12" t="s">
        <v>1596</v>
      </c>
      <c r="B15" s="12" t="s">
        <v>1029</v>
      </c>
      <c r="C15" s="12" t="s">
        <v>1597</v>
      </c>
      <c r="D15" s="12" t="s">
        <v>1598</v>
      </c>
      <c r="E15" s="12" t="s">
        <v>1599</v>
      </c>
      <c r="F15" s="12" t="s">
        <v>1600</v>
      </c>
      <c r="G15" s="12" t="s">
        <v>1601</v>
      </c>
      <c r="H15" s="12" t="s">
        <v>1602</v>
      </c>
    </row>
    <row r="16" spans="1:8" ht="25" x14ac:dyDescent="0.35">
      <c r="A16" s="12" t="s">
        <v>1603</v>
      </c>
      <c r="B16" s="12" t="s">
        <v>330</v>
      </c>
      <c r="C16" s="12" t="s">
        <v>1604</v>
      </c>
      <c r="D16" s="12" t="s">
        <v>1605</v>
      </c>
      <c r="E16" s="12" t="s">
        <v>1606</v>
      </c>
      <c r="F16" s="12" t="s">
        <v>1607</v>
      </c>
      <c r="G16" s="12" t="s">
        <v>1608</v>
      </c>
      <c r="H16" s="12" t="s">
        <v>1609</v>
      </c>
    </row>
    <row r="17" spans="1:8" ht="25" x14ac:dyDescent="0.35">
      <c r="A17" s="12" t="s">
        <v>1610</v>
      </c>
      <c r="B17" s="12" t="s">
        <v>326</v>
      </c>
      <c r="C17" s="12" t="s">
        <v>1611</v>
      </c>
      <c r="D17" s="12" t="s">
        <v>1612</v>
      </c>
      <c r="E17" s="12" t="s">
        <v>1613</v>
      </c>
      <c r="F17" s="12" t="s">
        <v>1614</v>
      </c>
      <c r="G17" s="12" t="s">
        <v>1615</v>
      </c>
      <c r="H17" s="12" t="s">
        <v>1616</v>
      </c>
    </row>
    <row r="18" spans="1:8" x14ac:dyDescent="0.35">
      <c r="A18" s="12" t="s">
        <v>1617</v>
      </c>
      <c r="B18" s="12" t="s">
        <v>314</v>
      </c>
      <c r="C18" s="12" t="s">
        <v>1618</v>
      </c>
      <c r="D18" s="12" t="s">
        <v>1619</v>
      </c>
      <c r="E18" s="12" t="s">
        <v>1620</v>
      </c>
      <c r="F18" s="12" t="s">
        <v>685</v>
      </c>
      <c r="G18" s="12" t="s">
        <v>1621</v>
      </c>
      <c r="H18" s="12" t="s">
        <v>1622</v>
      </c>
    </row>
    <row r="19" spans="1:8" x14ac:dyDescent="0.35">
      <c r="A19" s="12" t="s">
        <v>1623</v>
      </c>
      <c r="B19" s="12" t="s">
        <v>340</v>
      </c>
      <c r="C19" s="12" t="s">
        <v>340</v>
      </c>
      <c r="D19" s="12" t="s">
        <v>1624</v>
      </c>
      <c r="E19" s="12" t="s">
        <v>1625</v>
      </c>
      <c r="F19" s="12" t="s">
        <v>1626</v>
      </c>
      <c r="G19" s="12" t="s">
        <v>1627</v>
      </c>
      <c r="H19" s="12" t="s">
        <v>1628</v>
      </c>
    </row>
    <row r="20" spans="1:8" ht="25" x14ac:dyDescent="0.35">
      <c r="A20" s="12" t="s">
        <v>1629</v>
      </c>
      <c r="B20" s="12" t="s">
        <v>335</v>
      </c>
      <c r="C20" s="12" t="s">
        <v>1630</v>
      </c>
      <c r="D20" s="12" t="s">
        <v>1631</v>
      </c>
      <c r="E20" s="12" t="s">
        <v>1632</v>
      </c>
      <c r="F20" s="12" t="s">
        <v>1633</v>
      </c>
      <c r="G20" s="12" t="s">
        <v>1634</v>
      </c>
      <c r="H20" s="12" t="s">
        <v>1635</v>
      </c>
    </row>
    <row r="21" spans="1:8" ht="25" x14ac:dyDescent="0.35">
      <c r="A21" s="12" t="s">
        <v>1636</v>
      </c>
      <c r="B21" s="12" t="s">
        <v>1637</v>
      </c>
      <c r="C21" s="12" t="s">
        <v>1638</v>
      </c>
      <c r="D21" s="12" t="s">
        <v>1639</v>
      </c>
      <c r="E21" s="12" t="s">
        <v>1640</v>
      </c>
      <c r="F21" s="12" t="s">
        <v>1641</v>
      </c>
      <c r="G21" s="12" t="s">
        <v>1642</v>
      </c>
      <c r="H21" s="12" t="s">
        <v>1643</v>
      </c>
    </row>
    <row r="23" spans="1:8" ht="27.75" customHeight="1" x14ac:dyDescent="0.35">
      <c r="A23" s="1" t="s">
        <v>1644</v>
      </c>
      <c r="B23" s="1"/>
      <c r="C23" s="1"/>
      <c r="D23" s="1"/>
      <c r="E23" s="1"/>
      <c r="F23" s="1"/>
      <c r="G23" s="1"/>
      <c r="H23" s="1"/>
    </row>
  </sheetData>
  <autoFilter ref="A1:H21" xr:uid="{00000000-0009-0000-0000-000014000000}"/>
  <mergeCells count="1">
    <mergeCell ref="A23:H23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6A1B9A"/>
  </sheetPr>
  <dimension ref="A1:F19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3" customWidth="1"/>
    <col min="2" max="2" width="18" customWidth="1"/>
    <col min="3" max="3" width="28" customWidth="1"/>
    <col min="4" max="4" width="66" customWidth="1"/>
    <col min="5" max="5" width="26" customWidth="1"/>
    <col min="6" max="6" width="44" customWidth="1"/>
  </cols>
  <sheetData>
    <row r="1" spans="1:6" ht="27.75" customHeight="1" x14ac:dyDescent="0.35">
      <c r="A1" s="11" t="s">
        <v>1645</v>
      </c>
      <c r="B1" s="11" t="s">
        <v>138</v>
      </c>
      <c r="C1" s="11" t="s">
        <v>923</v>
      </c>
      <c r="D1" s="11" t="s">
        <v>1646</v>
      </c>
      <c r="E1" s="11" t="s">
        <v>1647</v>
      </c>
      <c r="F1" s="11" t="s">
        <v>1648</v>
      </c>
    </row>
    <row r="2" spans="1:6" x14ac:dyDescent="0.35">
      <c r="A2" s="12" t="s">
        <v>1649</v>
      </c>
      <c r="B2" s="12" t="s">
        <v>1650</v>
      </c>
      <c r="C2" s="12" t="s">
        <v>1651</v>
      </c>
      <c r="D2" s="12" t="s">
        <v>1652</v>
      </c>
      <c r="E2" s="12" t="s">
        <v>1653</v>
      </c>
      <c r="F2" s="12" t="s">
        <v>1654</v>
      </c>
    </row>
    <row r="3" spans="1:6" x14ac:dyDescent="0.35">
      <c r="A3" s="12" t="s">
        <v>1655</v>
      </c>
      <c r="B3" s="12" t="s">
        <v>1650</v>
      </c>
      <c r="C3" s="12" t="s">
        <v>1656</v>
      </c>
      <c r="D3" s="12" t="s">
        <v>1657</v>
      </c>
      <c r="E3" s="12" t="s">
        <v>1502</v>
      </c>
      <c r="F3" s="12" t="s">
        <v>1658</v>
      </c>
    </row>
    <row r="4" spans="1:6" x14ac:dyDescent="0.35">
      <c r="A4" s="12" t="s">
        <v>1659</v>
      </c>
      <c r="B4" s="12" t="s">
        <v>1660</v>
      </c>
      <c r="C4" s="12" t="s">
        <v>1661</v>
      </c>
      <c r="D4" s="12" t="s">
        <v>1662</v>
      </c>
      <c r="E4" s="12" t="s">
        <v>1663</v>
      </c>
      <c r="F4" s="12" t="s">
        <v>1664</v>
      </c>
    </row>
    <row r="5" spans="1:6" x14ac:dyDescent="0.35">
      <c r="A5" s="12" t="s">
        <v>1665</v>
      </c>
      <c r="B5" s="12" t="s">
        <v>1660</v>
      </c>
      <c r="C5" s="12" t="s">
        <v>1666</v>
      </c>
      <c r="D5" s="12" t="s">
        <v>1667</v>
      </c>
      <c r="E5" s="12" t="s">
        <v>1668</v>
      </c>
      <c r="F5" s="12" t="s">
        <v>1669</v>
      </c>
    </row>
    <row r="6" spans="1:6" x14ac:dyDescent="0.35">
      <c r="A6" s="12" t="s">
        <v>1670</v>
      </c>
      <c r="B6" s="12" t="s">
        <v>1660</v>
      </c>
      <c r="C6" s="12" t="s">
        <v>1671</v>
      </c>
      <c r="D6" s="12" t="s">
        <v>1672</v>
      </c>
      <c r="E6" s="12" t="s">
        <v>1525</v>
      </c>
      <c r="F6" s="12" t="s">
        <v>1673</v>
      </c>
    </row>
    <row r="7" spans="1:6" x14ac:dyDescent="0.35">
      <c r="A7" s="12" t="s">
        <v>1674</v>
      </c>
      <c r="B7" s="12" t="s">
        <v>1675</v>
      </c>
      <c r="C7" s="12" t="s">
        <v>1676</v>
      </c>
      <c r="D7" s="12" t="s">
        <v>1677</v>
      </c>
      <c r="E7" s="12" t="s">
        <v>1678</v>
      </c>
      <c r="F7" s="12" t="s">
        <v>1679</v>
      </c>
    </row>
    <row r="8" spans="1:6" x14ac:dyDescent="0.35">
      <c r="A8" s="12" t="s">
        <v>1680</v>
      </c>
      <c r="B8" s="12" t="s">
        <v>1675</v>
      </c>
      <c r="C8" s="12" t="s">
        <v>1681</v>
      </c>
      <c r="D8" s="12" t="s">
        <v>1682</v>
      </c>
      <c r="E8" s="12" t="s">
        <v>1589</v>
      </c>
      <c r="F8" s="12" t="s">
        <v>1683</v>
      </c>
    </row>
    <row r="9" spans="1:6" x14ac:dyDescent="0.35">
      <c r="A9" s="12" t="s">
        <v>1684</v>
      </c>
      <c r="B9" s="12" t="s">
        <v>1218</v>
      </c>
      <c r="C9" s="12" t="s">
        <v>1685</v>
      </c>
      <c r="D9" s="12" t="s">
        <v>1686</v>
      </c>
      <c r="E9" s="12" t="s">
        <v>1547</v>
      </c>
      <c r="F9" s="12" t="s">
        <v>1687</v>
      </c>
    </row>
    <row r="10" spans="1:6" x14ac:dyDescent="0.35">
      <c r="A10" s="12" t="s">
        <v>1688</v>
      </c>
      <c r="B10" s="12" t="s">
        <v>1218</v>
      </c>
      <c r="C10" s="12" t="s">
        <v>1689</v>
      </c>
      <c r="D10" s="12" t="s">
        <v>1690</v>
      </c>
      <c r="E10" s="12" t="s">
        <v>1691</v>
      </c>
      <c r="F10" s="12" t="s">
        <v>1692</v>
      </c>
    </row>
    <row r="11" spans="1:6" x14ac:dyDescent="0.35">
      <c r="A11" s="12" t="s">
        <v>1693</v>
      </c>
      <c r="B11" s="12" t="s">
        <v>1218</v>
      </c>
      <c r="C11" s="12" t="s">
        <v>1694</v>
      </c>
      <c r="D11" s="12" t="s">
        <v>1695</v>
      </c>
      <c r="E11" s="12" t="s">
        <v>1540</v>
      </c>
      <c r="F11" s="12" t="s">
        <v>1696</v>
      </c>
    </row>
    <row r="12" spans="1:6" x14ac:dyDescent="0.35">
      <c r="A12" s="12" t="s">
        <v>1697</v>
      </c>
      <c r="B12" s="12" t="s">
        <v>294</v>
      </c>
      <c r="C12" s="12" t="s">
        <v>1698</v>
      </c>
      <c r="D12" s="12" t="s">
        <v>1699</v>
      </c>
      <c r="E12" s="12" t="s">
        <v>1575</v>
      </c>
      <c r="F12" s="12" t="s">
        <v>1700</v>
      </c>
    </row>
    <row r="13" spans="1:6" x14ac:dyDescent="0.35">
      <c r="A13" s="12" t="s">
        <v>1701</v>
      </c>
      <c r="B13" s="12" t="s">
        <v>1029</v>
      </c>
      <c r="C13" s="12" t="s">
        <v>1702</v>
      </c>
      <c r="D13" s="12" t="s">
        <v>1703</v>
      </c>
      <c r="E13" s="12" t="s">
        <v>1596</v>
      </c>
      <c r="F13" s="12" t="s">
        <v>1704</v>
      </c>
    </row>
    <row r="14" spans="1:6" x14ac:dyDescent="0.35">
      <c r="A14" s="12" t="s">
        <v>1705</v>
      </c>
      <c r="B14" s="12" t="s">
        <v>1706</v>
      </c>
      <c r="C14" s="12" t="s">
        <v>1707</v>
      </c>
      <c r="D14" s="12" t="s">
        <v>1708</v>
      </c>
      <c r="E14" s="12" t="s">
        <v>1709</v>
      </c>
      <c r="F14" s="12" t="s">
        <v>1710</v>
      </c>
    </row>
    <row r="15" spans="1:6" x14ac:dyDescent="0.35">
      <c r="A15" s="12" t="s">
        <v>1711</v>
      </c>
      <c r="B15" s="12" t="s">
        <v>1706</v>
      </c>
      <c r="C15" s="12" t="s">
        <v>1712</v>
      </c>
      <c r="D15" s="12" t="s">
        <v>1713</v>
      </c>
      <c r="E15" s="12" t="s">
        <v>1623</v>
      </c>
      <c r="F15" s="12" t="s">
        <v>1714</v>
      </c>
    </row>
    <row r="16" spans="1:6" x14ac:dyDescent="0.35">
      <c r="A16" s="12" t="s">
        <v>1715</v>
      </c>
      <c r="B16" s="12" t="s">
        <v>1716</v>
      </c>
      <c r="C16" s="12" t="s">
        <v>1717</v>
      </c>
      <c r="D16" s="12" t="s">
        <v>1718</v>
      </c>
      <c r="E16" s="12" t="s">
        <v>1653</v>
      </c>
      <c r="F16" s="12" t="s">
        <v>1719</v>
      </c>
    </row>
    <row r="17" spans="1:6" x14ac:dyDescent="0.35">
      <c r="A17" s="12" t="s">
        <v>1720</v>
      </c>
      <c r="B17" s="12" t="s">
        <v>1716</v>
      </c>
      <c r="C17" s="12" t="s">
        <v>1721</v>
      </c>
      <c r="D17" s="12" t="s">
        <v>1722</v>
      </c>
      <c r="E17" s="12" t="s">
        <v>1723</v>
      </c>
      <c r="F17" s="12" t="s">
        <v>1724</v>
      </c>
    </row>
    <row r="18" spans="1:6" x14ac:dyDescent="0.35">
      <c r="A18" s="12" t="s">
        <v>1725</v>
      </c>
      <c r="B18" s="12" t="s">
        <v>1726</v>
      </c>
      <c r="C18" s="12" t="s">
        <v>1727</v>
      </c>
      <c r="D18" s="12" t="s">
        <v>1728</v>
      </c>
      <c r="E18" s="12" t="s">
        <v>1653</v>
      </c>
      <c r="F18" s="12" t="s">
        <v>1729</v>
      </c>
    </row>
    <row r="19" spans="1:6" x14ac:dyDescent="0.35">
      <c r="A19" s="12" t="s">
        <v>1730</v>
      </c>
      <c r="B19" s="12" t="s">
        <v>326</v>
      </c>
      <c r="C19" s="12" t="s">
        <v>1731</v>
      </c>
      <c r="D19" s="12" t="s">
        <v>1732</v>
      </c>
      <c r="E19" s="12" t="s">
        <v>1610</v>
      </c>
      <c r="F19" s="12" t="s">
        <v>1733</v>
      </c>
    </row>
  </sheetData>
  <autoFilter ref="A1:F19" xr:uid="{00000000-0009-0000-0000-000015000000}"/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6A1B9A"/>
  </sheetPr>
  <dimension ref="A1:E1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0" customWidth="1"/>
    <col min="2" max="2" width="34" customWidth="1"/>
    <col min="3" max="3" width="70" customWidth="1"/>
    <col min="4" max="4" width="30" customWidth="1"/>
    <col min="5" max="5" width="50" customWidth="1"/>
  </cols>
  <sheetData>
    <row r="1" spans="1:5" ht="27.75" customHeight="1" x14ac:dyDescent="0.35">
      <c r="A1" s="11" t="s">
        <v>1650</v>
      </c>
      <c r="B1" s="11" t="s">
        <v>1734</v>
      </c>
      <c r="C1" s="11" t="s">
        <v>1735</v>
      </c>
      <c r="D1" s="11" t="s">
        <v>1736</v>
      </c>
      <c r="E1" s="11" t="s">
        <v>1737</v>
      </c>
    </row>
    <row r="2" spans="1:5" ht="25" x14ac:dyDescent="0.35">
      <c r="A2" s="12" t="s">
        <v>1738</v>
      </c>
      <c r="B2" s="12" t="s">
        <v>1739</v>
      </c>
      <c r="C2" s="12" t="s">
        <v>1740</v>
      </c>
      <c r="D2" s="12" t="s">
        <v>1741</v>
      </c>
      <c r="E2" s="12" t="s">
        <v>1742</v>
      </c>
    </row>
    <row r="3" spans="1:5" ht="25" x14ac:dyDescent="0.35">
      <c r="A3" s="12" t="s">
        <v>1743</v>
      </c>
      <c r="B3" s="12" t="s">
        <v>1744</v>
      </c>
      <c r="C3" s="12" t="s">
        <v>1745</v>
      </c>
      <c r="D3" s="12" t="s">
        <v>1746</v>
      </c>
      <c r="E3" s="12" t="s">
        <v>1747</v>
      </c>
    </row>
    <row r="4" spans="1:5" ht="25" x14ac:dyDescent="0.35">
      <c r="A4" s="12" t="s">
        <v>1748</v>
      </c>
      <c r="B4" s="12" t="s">
        <v>1749</v>
      </c>
      <c r="C4" s="12" t="s">
        <v>1750</v>
      </c>
      <c r="D4" s="12" t="s">
        <v>1751</v>
      </c>
      <c r="E4" s="12" t="s">
        <v>1752</v>
      </c>
    </row>
    <row r="5" spans="1:5" ht="25" x14ac:dyDescent="0.35">
      <c r="A5" s="12" t="s">
        <v>1753</v>
      </c>
      <c r="B5" s="12" t="s">
        <v>1754</v>
      </c>
      <c r="C5" s="12" t="s">
        <v>1755</v>
      </c>
      <c r="D5" s="12" t="s">
        <v>1756</v>
      </c>
      <c r="E5" s="12" t="s">
        <v>1757</v>
      </c>
    </row>
    <row r="6" spans="1:5" ht="25" x14ac:dyDescent="0.35">
      <c r="A6" s="12" t="s">
        <v>1758</v>
      </c>
      <c r="B6" s="12" t="s">
        <v>1759</v>
      </c>
      <c r="C6" s="12" t="s">
        <v>1760</v>
      </c>
      <c r="D6" s="12" t="s">
        <v>1761</v>
      </c>
      <c r="E6" s="12" t="s">
        <v>1762</v>
      </c>
    </row>
    <row r="7" spans="1:5" ht="25" x14ac:dyDescent="0.35">
      <c r="A7" s="12" t="s">
        <v>1763</v>
      </c>
      <c r="B7" s="12" t="s">
        <v>1764</v>
      </c>
      <c r="C7" s="12" t="s">
        <v>1765</v>
      </c>
      <c r="D7" s="12" t="s">
        <v>1766</v>
      </c>
      <c r="E7" s="12" t="s">
        <v>1767</v>
      </c>
    </row>
    <row r="8" spans="1:5" ht="25" x14ac:dyDescent="0.35">
      <c r="A8" s="12" t="s">
        <v>330</v>
      </c>
      <c r="B8" s="12" t="s">
        <v>1768</v>
      </c>
      <c r="C8" s="12" t="s">
        <v>1769</v>
      </c>
      <c r="D8" s="12" t="s">
        <v>1770</v>
      </c>
      <c r="E8" s="12" t="s">
        <v>1771</v>
      </c>
    </row>
    <row r="9" spans="1:5" ht="25" x14ac:dyDescent="0.35">
      <c r="A9" s="12" t="s">
        <v>1772</v>
      </c>
      <c r="B9" s="12" t="s">
        <v>1773</v>
      </c>
      <c r="C9" s="12" t="s">
        <v>1774</v>
      </c>
      <c r="D9" s="12" t="s">
        <v>1746</v>
      </c>
      <c r="E9" s="12" t="s">
        <v>1775</v>
      </c>
    </row>
    <row r="11" spans="1:5" ht="27.75" customHeight="1" x14ac:dyDescent="0.35">
      <c r="A11" s="1" t="s">
        <v>1776</v>
      </c>
      <c r="B11" s="1"/>
      <c r="C11" s="1"/>
      <c r="D11" s="1"/>
      <c r="E11" s="1"/>
    </row>
  </sheetData>
  <autoFilter ref="A1:E9" xr:uid="{00000000-0009-0000-0000-000016000000}"/>
  <mergeCells count="1">
    <mergeCell ref="A11:E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6A1B9A"/>
  </sheetPr>
  <dimension ref="A1:E18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6" customWidth="1"/>
    <col min="2" max="2" width="40" customWidth="1"/>
    <col min="3" max="3" width="26" customWidth="1"/>
    <col min="4" max="5" width="44" customWidth="1"/>
  </cols>
  <sheetData>
    <row r="1" spans="1:5" ht="27.75" customHeight="1" x14ac:dyDescent="0.35">
      <c r="A1" s="11" t="s">
        <v>1777</v>
      </c>
      <c r="B1" s="11" t="s">
        <v>1778</v>
      </c>
      <c r="C1" s="11" t="s">
        <v>1779</v>
      </c>
      <c r="D1" s="11" t="s">
        <v>1780</v>
      </c>
      <c r="E1" s="11" t="s">
        <v>620</v>
      </c>
    </row>
    <row r="2" spans="1:5" x14ac:dyDescent="0.35">
      <c r="A2" s="12" t="s">
        <v>1781</v>
      </c>
      <c r="B2" s="12" t="s">
        <v>1782</v>
      </c>
      <c r="C2" s="12" t="s">
        <v>1783</v>
      </c>
      <c r="D2" s="12" t="s">
        <v>1784</v>
      </c>
      <c r="E2" s="12" t="s">
        <v>1785</v>
      </c>
    </row>
    <row r="3" spans="1:5" x14ac:dyDescent="0.35">
      <c r="A3" s="12" t="s">
        <v>1786</v>
      </c>
      <c r="B3" s="12" t="s">
        <v>1787</v>
      </c>
      <c r="C3" s="12" t="s">
        <v>1788</v>
      </c>
      <c r="D3" s="12" t="s">
        <v>1789</v>
      </c>
      <c r="E3" s="12" t="s">
        <v>1790</v>
      </c>
    </row>
    <row r="4" spans="1:5" x14ac:dyDescent="0.35">
      <c r="A4" s="12" t="s">
        <v>1786</v>
      </c>
      <c r="B4" s="12" t="s">
        <v>1791</v>
      </c>
      <c r="C4" s="12" t="s">
        <v>1792</v>
      </c>
      <c r="D4" s="12" t="s">
        <v>1793</v>
      </c>
      <c r="E4" s="12" t="s">
        <v>1794</v>
      </c>
    </row>
    <row r="5" spans="1:5" ht="25" x14ac:dyDescent="0.35">
      <c r="A5" s="12" t="s">
        <v>1051</v>
      </c>
      <c r="B5" s="12" t="s">
        <v>1795</v>
      </c>
      <c r="C5" s="12" t="s">
        <v>1796</v>
      </c>
      <c r="D5" s="12" t="s">
        <v>388</v>
      </c>
      <c r="E5" s="12" t="s">
        <v>1797</v>
      </c>
    </row>
    <row r="6" spans="1:5" x14ac:dyDescent="0.35">
      <c r="A6" s="12" t="s">
        <v>1798</v>
      </c>
      <c r="B6" s="12" t="s">
        <v>1799</v>
      </c>
      <c r="C6" s="12" t="s">
        <v>1800</v>
      </c>
      <c r="D6" s="12" t="s">
        <v>388</v>
      </c>
      <c r="E6" s="12" t="s">
        <v>1801</v>
      </c>
    </row>
    <row r="7" spans="1:5" ht="25" x14ac:dyDescent="0.35">
      <c r="A7" s="12" t="s">
        <v>1798</v>
      </c>
      <c r="B7" s="12" t="s">
        <v>1802</v>
      </c>
      <c r="C7" s="12" t="s">
        <v>1803</v>
      </c>
      <c r="D7" s="12" t="s">
        <v>1804</v>
      </c>
      <c r="E7" s="12" t="s">
        <v>1805</v>
      </c>
    </row>
    <row r="8" spans="1:5" ht="25" x14ac:dyDescent="0.35">
      <c r="A8" s="12" t="s">
        <v>1806</v>
      </c>
      <c r="B8" s="12" t="s">
        <v>1807</v>
      </c>
      <c r="C8" s="12" t="s">
        <v>1808</v>
      </c>
      <c r="D8" s="12" t="s">
        <v>388</v>
      </c>
      <c r="E8" s="12" t="s">
        <v>1809</v>
      </c>
    </row>
    <row r="9" spans="1:5" x14ac:dyDescent="0.35">
      <c r="A9" s="12" t="s">
        <v>1548</v>
      </c>
      <c r="B9" s="12" t="s">
        <v>1810</v>
      </c>
      <c r="C9" s="12" t="s">
        <v>1811</v>
      </c>
      <c r="D9" s="12" t="s">
        <v>1812</v>
      </c>
      <c r="E9" s="12" t="s">
        <v>1813</v>
      </c>
    </row>
    <row r="10" spans="1:5" x14ac:dyDescent="0.35">
      <c r="A10" s="12" t="s">
        <v>1814</v>
      </c>
      <c r="B10" s="12" t="s">
        <v>1815</v>
      </c>
      <c r="C10" s="12" t="s">
        <v>1816</v>
      </c>
      <c r="D10" s="12" t="s">
        <v>1817</v>
      </c>
      <c r="E10" s="12" t="s">
        <v>1818</v>
      </c>
    </row>
    <row r="11" spans="1:5" ht="25" x14ac:dyDescent="0.35">
      <c r="A11" s="12" t="s">
        <v>286</v>
      </c>
      <c r="B11" s="12" t="s">
        <v>805</v>
      </c>
      <c r="C11" s="12" t="s">
        <v>1819</v>
      </c>
      <c r="D11" s="12" t="s">
        <v>1820</v>
      </c>
      <c r="E11" s="12" t="s">
        <v>1821</v>
      </c>
    </row>
    <row r="12" spans="1:5" x14ac:dyDescent="0.35">
      <c r="A12" s="12" t="s">
        <v>1576</v>
      </c>
      <c r="B12" s="12" t="s">
        <v>1822</v>
      </c>
      <c r="C12" s="12" t="s">
        <v>1823</v>
      </c>
      <c r="D12" s="12" t="s">
        <v>1824</v>
      </c>
      <c r="E12" s="12" t="s">
        <v>1825</v>
      </c>
    </row>
    <row r="13" spans="1:5" x14ac:dyDescent="0.35">
      <c r="A13" s="12" t="s">
        <v>1583</v>
      </c>
      <c r="B13" s="12" t="s">
        <v>1826</v>
      </c>
      <c r="C13" s="12" t="s">
        <v>1827</v>
      </c>
      <c r="D13" s="12" t="s">
        <v>1828</v>
      </c>
      <c r="E13" s="12" t="s">
        <v>1829</v>
      </c>
    </row>
    <row r="14" spans="1:5" x14ac:dyDescent="0.35">
      <c r="A14" s="12" t="s">
        <v>1830</v>
      </c>
      <c r="B14" s="12" t="s">
        <v>1831</v>
      </c>
      <c r="C14" s="12" t="s">
        <v>1832</v>
      </c>
      <c r="D14" s="12" t="s">
        <v>1833</v>
      </c>
      <c r="E14" s="12" t="s">
        <v>1834</v>
      </c>
    </row>
    <row r="15" spans="1:5" ht="25" x14ac:dyDescent="0.35">
      <c r="A15" s="12" t="s">
        <v>1835</v>
      </c>
      <c r="B15" s="12" t="s">
        <v>1836</v>
      </c>
      <c r="C15" s="12" t="s">
        <v>1837</v>
      </c>
      <c r="D15" s="12" t="s">
        <v>388</v>
      </c>
      <c r="E15" s="12" t="s">
        <v>1838</v>
      </c>
    </row>
    <row r="16" spans="1:5" ht="25" x14ac:dyDescent="0.35">
      <c r="A16" s="12" t="s">
        <v>1839</v>
      </c>
      <c r="B16" s="12" t="s">
        <v>1840</v>
      </c>
      <c r="C16" s="12" t="s">
        <v>1841</v>
      </c>
      <c r="D16" s="12" t="s">
        <v>1842</v>
      </c>
      <c r="E16" s="12" t="s">
        <v>1843</v>
      </c>
    </row>
    <row r="17" spans="1:5" x14ac:dyDescent="0.35">
      <c r="A17" s="12" t="s">
        <v>340</v>
      </c>
      <c r="B17" s="12" t="s">
        <v>1844</v>
      </c>
      <c r="C17" s="12" t="s">
        <v>1845</v>
      </c>
      <c r="D17" s="12" t="s">
        <v>388</v>
      </c>
      <c r="E17" s="12" t="s">
        <v>1846</v>
      </c>
    </row>
    <row r="18" spans="1:5" x14ac:dyDescent="0.35">
      <c r="A18" s="12" t="s">
        <v>335</v>
      </c>
      <c r="B18" s="12" t="s">
        <v>1847</v>
      </c>
      <c r="C18" s="12" t="s">
        <v>1848</v>
      </c>
      <c r="D18" s="12" t="s">
        <v>1849</v>
      </c>
      <c r="E18" s="12" t="s">
        <v>1850</v>
      </c>
    </row>
  </sheetData>
  <autoFilter ref="A1:E18" xr:uid="{00000000-0009-0000-0000-000017000000}"/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6A1B9A"/>
  </sheetPr>
  <dimension ref="A1:H19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4" customWidth="1"/>
    <col min="2" max="2" width="6" customWidth="1"/>
    <col min="3" max="3" width="18" customWidth="1"/>
    <col min="4" max="4" width="44" customWidth="1"/>
    <col min="5" max="5" width="50" customWidth="1"/>
    <col min="6" max="6" width="12" customWidth="1"/>
    <col min="7" max="7" width="30" customWidth="1"/>
    <col min="8" max="8" width="44" customWidth="1"/>
  </cols>
  <sheetData>
    <row r="1" spans="1:8" ht="27.75" customHeight="1" x14ac:dyDescent="0.35">
      <c r="A1" s="11" t="s">
        <v>1851</v>
      </c>
      <c r="B1" s="11" t="s">
        <v>1852</v>
      </c>
      <c r="C1" s="11" t="s">
        <v>1117</v>
      </c>
      <c r="D1" s="11" t="s">
        <v>1853</v>
      </c>
      <c r="E1" s="11" t="s">
        <v>1854</v>
      </c>
      <c r="F1" s="11" t="s">
        <v>1498</v>
      </c>
      <c r="G1" s="11" t="s">
        <v>1855</v>
      </c>
      <c r="H1" s="11" t="s">
        <v>1856</v>
      </c>
    </row>
    <row r="2" spans="1:8" x14ac:dyDescent="0.35">
      <c r="A2" s="12" t="s">
        <v>1857</v>
      </c>
      <c r="B2" s="12">
        <v>1</v>
      </c>
      <c r="C2" s="12" t="s">
        <v>1858</v>
      </c>
      <c r="D2" s="12" t="s">
        <v>1859</v>
      </c>
      <c r="E2" s="12" t="s">
        <v>1860</v>
      </c>
      <c r="F2" s="12" t="s">
        <v>1502</v>
      </c>
      <c r="G2" s="12" t="s">
        <v>1861</v>
      </c>
      <c r="H2" s="12" t="s">
        <v>1862</v>
      </c>
    </row>
    <row r="3" spans="1:8" ht="25" x14ac:dyDescent="0.35">
      <c r="A3" s="12" t="s">
        <v>1857</v>
      </c>
      <c r="B3" s="12">
        <v>2</v>
      </c>
      <c r="C3" s="12" t="s">
        <v>1858</v>
      </c>
      <c r="D3" s="12" t="s">
        <v>1863</v>
      </c>
      <c r="E3" s="12" t="s">
        <v>1864</v>
      </c>
      <c r="F3" s="12" t="s">
        <v>1596</v>
      </c>
      <c r="G3" s="12" t="s">
        <v>1865</v>
      </c>
      <c r="H3" s="12" t="s">
        <v>1866</v>
      </c>
    </row>
    <row r="4" spans="1:8" x14ac:dyDescent="0.35">
      <c r="A4" s="12" t="s">
        <v>1857</v>
      </c>
      <c r="B4" s="12">
        <v>3</v>
      </c>
      <c r="C4" s="12" t="s">
        <v>1867</v>
      </c>
      <c r="D4" s="12" t="s">
        <v>1868</v>
      </c>
      <c r="E4" s="12" t="s">
        <v>1869</v>
      </c>
      <c r="F4" s="12" t="s">
        <v>1870</v>
      </c>
      <c r="G4" s="12" t="s">
        <v>1871</v>
      </c>
      <c r="H4" s="12" t="s">
        <v>1872</v>
      </c>
    </row>
    <row r="5" spans="1:8" x14ac:dyDescent="0.35">
      <c r="A5" s="12" t="s">
        <v>1857</v>
      </c>
      <c r="B5" s="12">
        <v>4</v>
      </c>
      <c r="C5" s="12" t="s">
        <v>1873</v>
      </c>
      <c r="D5" s="12" t="s">
        <v>1874</v>
      </c>
      <c r="E5" s="12" t="s">
        <v>1875</v>
      </c>
      <c r="F5" s="12" t="s">
        <v>1876</v>
      </c>
      <c r="G5" s="12" t="s">
        <v>1877</v>
      </c>
      <c r="H5" s="12" t="s">
        <v>1878</v>
      </c>
    </row>
    <row r="6" spans="1:8" x14ac:dyDescent="0.35">
      <c r="A6" s="12" t="s">
        <v>1857</v>
      </c>
      <c r="B6" s="12">
        <v>5</v>
      </c>
      <c r="C6" s="12" t="s">
        <v>1879</v>
      </c>
      <c r="D6" s="12" t="s">
        <v>1880</v>
      </c>
      <c r="E6" s="12" t="s">
        <v>1881</v>
      </c>
      <c r="F6" s="12" t="s">
        <v>1547</v>
      </c>
      <c r="G6" s="12" t="s">
        <v>1882</v>
      </c>
      <c r="H6" s="12" t="s">
        <v>1883</v>
      </c>
    </row>
    <row r="7" spans="1:8" x14ac:dyDescent="0.35">
      <c r="A7" s="12" t="s">
        <v>1857</v>
      </c>
      <c r="B7" s="12">
        <v>6</v>
      </c>
      <c r="C7" s="12" t="s">
        <v>1884</v>
      </c>
      <c r="D7" s="12" t="s">
        <v>1885</v>
      </c>
      <c r="E7" s="12" t="s">
        <v>1886</v>
      </c>
      <c r="F7" s="12" t="s">
        <v>1887</v>
      </c>
      <c r="G7" s="12" t="s">
        <v>1888</v>
      </c>
      <c r="H7" s="12" t="s">
        <v>1889</v>
      </c>
    </row>
    <row r="8" spans="1:8" x14ac:dyDescent="0.35">
      <c r="A8" s="12" t="s">
        <v>1857</v>
      </c>
      <c r="B8" s="12">
        <v>7</v>
      </c>
      <c r="C8" s="12" t="s">
        <v>1890</v>
      </c>
      <c r="D8" s="12" t="s">
        <v>1891</v>
      </c>
      <c r="E8" s="12" t="s">
        <v>1892</v>
      </c>
      <c r="F8" s="12" t="s">
        <v>1610</v>
      </c>
      <c r="G8" s="12" t="s">
        <v>1893</v>
      </c>
      <c r="H8" s="12" t="s">
        <v>1894</v>
      </c>
    </row>
    <row r="9" spans="1:8" x14ac:dyDescent="0.35">
      <c r="A9" s="12" t="s">
        <v>1857</v>
      </c>
      <c r="B9" s="12">
        <v>8</v>
      </c>
      <c r="C9" s="12" t="s">
        <v>1895</v>
      </c>
      <c r="D9" s="12" t="s">
        <v>1896</v>
      </c>
      <c r="E9" s="12" t="s">
        <v>1897</v>
      </c>
      <c r="F9" s="12" t="s">
        <v>1898</v>
      </c>
      <c r="G9" s="12" t="s">
        <v>1899</v>
      </c>
      <c r="H9" s="12" t="s">
        <v>388</v>
      </c>
    </row>
    <row r="10" spans="1:8" x14ac:dyDescent="0.35">
      <c r="A10" s="12" t="s">
        <v>1900</v>
      </c>
      <c r="B10" s="12">
        <v>1</v>
      </c>
      <c r="C10" s="12" t="s">
        <v>1873</v>
      </c>
      <c r="D10" s="12" t="s">
        <v>1901</v>
      </c>
      <c r="E10" s="12" t="s">
        <v>1902</v>
      </c>
      <c r="F10" s="12" t="s">
        <v>1510</v>
      </c>
      <c r="G10" s="12" t="s">
        <v>1903</v>
      </c>
      <c r="H10" s="12" t="s">
        <v>1904</v>
      </c>
    </row>
    <row r="11" spans="1:8" x14ac:dyDescent="0.35">
      <c r="A11" s="12" t="s">
        <v>1900</v>
      </c>
      <c r="B11" s="12">
        <v>2</v>
      </c>
      <c r="C11" s="12" t="s">
        <v>1873</v>
      </c>
      <c r="D11" s="12" t="s">
        <v>1905</v>
      </c>
      <c r="E11" s="12" t="s">
        <v>1906</v>
      </c>
      <c r="F11" s="12" t="s">
        <v>1517</v>
      </c>
      <c r="G11" s="12" t="s">
        <v>1907</v>
      </c>
      <c r="H11" s="12" t="s">
        <v>1908</v>
      </c>
    </row>
    <row r="12" spans="1:8" x14ac:dyDescent="0.35">
      <c r="A12" s="12" t="s">
        <v>1900</v>
      </c>
      <c r="B12" s="12">
        <v>3</v>
      </c>
      <c r="C12" s="12" t="s">
        <v>1873</v>
      </c>
      <c r="D12" s="12" t="s">
        <v>1909</v>
      </c>
      <c r="E12" s="12" t="s">
        <v>1910</v>
      </c>
      <c r="F12" s="12" t="s">
        <v>1623</v>
      </c>
      <c r="G12" s="12" t="s">
        <v>1911</v>
      </c>
      <c r="H12" s="12" t="s">
        <v>388</v>
      </c>
    </row>
    <row r="13" spans="1:8" x14ac:dyDescent="0.35">
      <c r="A13" s="12" t="s">
        <v>1900</v>
      </c>
      <c r="B13" s="12">
        <v>4</v>
      </c>
      <c r="C13" s="12" t="s">
        <v>1912</v>
      </c>
      <c r="D13" s="12" t="s">
        <v>1913</v>
      </c>
      <c r="E13" s="12" t="s">
        <v>1914</v>
      </c>
      <c r="F13" s="12" t="s">
        <v>1525</v>
      </c>
      <c r="G13" s="12" t="s">
        <v>1915</v>
      </c>
      <c r="H13" s="12" t="s">
        <v>1916</v>
      </c>
    </row>
    <row r="14" spans="1:8" x14ac:dyDescent="0.35">
      <c r="A14" s="12" t="s">
        <v>1917</v>
      </c>
      <c r="B14" s="12">
        <v>1</v>
      </c>
      <c r="C14" s="12" t="s">
        <v>330</v>
      </c>
      <c r="D14" s="12" t="s">
        <v>1918</v>
      </c>
      <c r="E14" s="12" t="s">
        <v>1919</v>
      </c>
      <c r="F14" s="12" t="s">
        <v>1589</v>
      </c>
      <c r="G14" s="12" t="s">
        <v>1920</v>
      </c>
      <c r="H14" s="12" t="s">
        <v>1921</v>
      </c>
    </row>
    <row r="15" spans="1:8" x14ac:dyDescent="0.35">
      <c r="A15" s="12" t="s">
        <v>1917</v>
      </c>
      <c r="B15" s="12">
        <v>2</v>
      </c>
      <c r="C15" s="12" t="s">
        <v>1922</v>
      </c>
      <c r="D15" s="12" t="s">
        <v>1923</v>
      </c>
      <c r="E15" s="12" t="s">
        <v>1924</v>
      </c>
      <c r="F15" s="12" t="s">
        <v>1582</v>
      </c>
      <c r="G15" s="12" t="s">
        <v>1925</v>
      </c>
      <c r="H15" s="12" t="s">
        <v>1926</v>
      </c>
    </row>
    <row r="16" spans="1:8" x14ac:dyDescent="0.35">
      <c r="A16" s="12" t="s">
        <v>1917</v>
      </c>
      <c r="B16" s="12">
        <v>3</v>
      </c>
      <c r="C16" s="12" t="s">
        <v>1927</v>
      </c>
      <c r="D16" s="12" t="s">
        <v>1928</v>
      </c>
      <c r="E16" s="12" t="s">
        <v>1929</v>
      </c>
      <c r="F16" s="12" t="s">
        <v>1589</v>
      </c>
      <c r="G16" s="12" t="s">
        <v>1930</v>
      </c>
      <c r="H16" s="12" t="s">
        <v>1931</v>
      </c>
    </row>
    <row r="17" spans="1:8" x14ac:dyDescent="0.35">
      <c r="A17" s="12" t="s">
        <v>1917</v>
      </c>
      <c r="B17" s="12">
        <v>4</v>
      </c>
      <c r="C17" s="12" t="s">
        <v>1932</v>
      </c>
      <c r="D17" s="12" t="s">
        <v>1933</v>
      </c>
      <c r="E17" s="12" t="s">
        <v>1934</v>
      </c>
      <c r="F17" s="12" t="s">
        <v>1935</v>
      </c>
      <c r="G17" s="12" t="s">
        <v>1936</v>
      </c>
      <c r="H17" s="12" t="s">
        <v>1937</v>
      </c>
    </row>
    <row r="18" spans="1:8" x14ac:dyDescent="0.35">
      <c r="A18" s="12" t="s">
        <v>1938</v>
      </c>
      <c r="B18" s="12">
        <v>1</v>
      </c>
      <c r="C18" s="12" t="s">
        <v>1895</v>
      </c>
      <c r="D18" s="12" t="s">
        <v>1939</v>
      </c>
      <c r="E18" s="12" t="s">
        <v>1940</v>
      </c>
      <c r="F18" s="12" t="s">
        <v>1568</v>
      </c>
      <c r="G18" s="12" t="s">
        <v>1941</v>
      </c>
      <c r="H18" s="12" t="s">
        <v>1942</v>
      </c>
    </row>
    <row r="19" spans="1:8" x14ac:dyDescent="0.35">
      <c r="A19" s="12" t="s">
        <v>1938</v>
      </c>
      <c r="B19" s="12">
        <v>2</v>
      </c>
      <c r="C19" s="12" t="s">
        <v>1943</v>
      </c>
      <c r="D19" s="12" t="s">
        <v>1944</v>
      </c>
      <c r="E19" s="12" t="s">
        <v>1945</v>
      </c>
      <c r="F19" s="12" t="s">
        <v>1547</v>
      </c>
      <c r="G19" s="12" t="s">
        <v>1946</v>
      </c>
      <c r="H19" s="12" t="s">
        <v>388</v>
      </c>
    </row>
  </sheetData>
  <autoFilter ref="A1:H19" xr:uid="{00000000-0009-0000-0000-000018000000}"/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6A1B9A"/>
  </sheetPr>
  <dimension ref="A1:D16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2" width="30" customWidth="1"/>
    <col min="3" max="3" width="76" customWidth="1"/>
    <col min="4" max="4" width="50" customWidth="1"/>
  </cols>
  <sheetData>
    <row r="1" spans="1:4" ht="27.75" customHeight="1" x14ac:dyDescent="0.35">
      <c r="A1" s="11" t="s">
        <v>1497</v>
      </c>
      <c r="B1" s="11" t="s">
        <v>1947</v>
      </c>
      <c r="C1" s="11" t="s">
        <v>1948</v>
      </c>
      <c r="D1" s="11" t="s">
        <v>1949</v>
      </c>
    </row>
    <row r="2" spans="1:4" ht="37.5" x14ac:dyDescent="0.35">
      <c r="A2" s="12" t="s">
        <v>1950</v>
      </c>
      <c r="B2" s="12" t="s">
        <v>1951</v>
      </c>
      <c r="C2" s="12" t="s">
        <v>1952</v>
      </c>
      <c r="D2" s="12" t="s">
        <v>1953</v>
      </c>
    </row>
    <row r="3" spans="1:4" x14ac:dyDescent="0.35">
      <c r="A3" s="12" t="s">
        <v>1950</v>
      </c>
      <c r="B3" s="12" t="s">
        <v>1954</v>
      </c>
      <c r="C3" s="12" t="s">
        <v>1955</v>
      </c>
      <c r="D3" s="12" t="s">
        <v>1956</v>
      </c>
    </row>
    <row r="4" spans="1:4" x14ac:dyDescent="0.35">
      <c r="A4" s="12" t="s">
        <v>1950</v>
      </c>
      <c r="B4" s="12" t="s">
        <v>1957</v>
      </c>
      <c r="C4" s="12" t="s">
        <v>1958</v>
      </c>
      <c r="D4" s="12" t="s">
        <v>1959</v>
      </c>
    </row>
    <row r="5" spans="1:4" ht="25" x14ac:dyDescent="0.35">
      <c r="A5" s="12" t="s">
        <v>1960</v>
      </c>
      <c r="B5" s="12" t="s">
        <v>1961</v>
      </c>
      <c r="C5" s="12" t="s">
        <v>1962</v>
      </c>
      <c r="D5" s="12" t="s">
        <v>1963</v>
      </c>
    </row>
    <row r="6" spans="1:4" x14ac:dyDescent="0.35">
      <c r="A6" s="12" t="s">
        <v>1960</v>
      </c>
      <c r="B6" s="12" t="s">
        <v>1964</v>
      </c>
      <c r="C6" s="12" t="s">
        <v>1965</v>
      </c>
      <c r="D6" s="12" t="s">
        <v>1966</v>
      </c>
    </row>
    <row r="7" spans="1:4" ht="25" x14ac:dyDescent="0.35">
      <c r="A7" s="12" t="s">
        <v>1967</v>
      </c>
      <c r="B7" s="12" t="s">
        <v>1968</v>
      </c>
      <c r="C7" s="12" t="s">
        <v>1969</v>
      </c>
      <c r="D7" s="12" t="s">
        <v>1970</v>
      </c>
    </row>
    <row r="8" spans="1:4" ht="25" x14ac:dyDescent="0.35">
      <c r="A8" s="12" t="s">
        <v>1971</v>
      </c>
      <c r="B8" s="12" t="s">
        <v>1972</v>
      </c>
      <c r="C8" s="12" t="s">
        <v>1973</v>
      </c>
      <c r="D8" s="12" t="s">
        <v>1974</v>
      </c>
    </row>
    <row r="9" spans="1:4" ht="25" x14ac:dyDescent="0.35">
      <c r="A9" s="12" t="s">
        <v>1971</v>
      </c>
      <c r="B9" s="12" t="s">
        <v>1975</v>
      </c>
      <c r="C9" s="12" t="s">
        <v>1976</v>
      </c>
      <c r="D9" s="12" t="s">
        <v>1977</v>
      </c>
    </row>
    <row r="10" spans="1:4" ht="25" x14ac:dyDescent="0.35">
      <c r="A10" s="12" t="s">
        <v>1978</v>
      </c>
      <c r="B10" s="12" t="s">
        <v>1979</v>
      </c>
      <c r="C10" s="12" t="s">
        <v>1980</v>
      </c>
      <c r="D10" s="12" t="s">
        <v>1981</v>
      </c>
    </row>
    <row r="11" spans="1:4" ht="25" x14ac:dyDescent="0.35">
      <c r="A11" s="12" t="s">
        <v>1978</v>
      </c>
      <c r="B11" s="12" t="s">
        <v>1982</v>
      </c>
      <c r="C11" s="12" t="s">
        <v>1983</v>
      </c>
      <c r="D11" s="12" t="s">
        <v>1984</v>
      </c>
    </row>
    <row r="12" spans="1:4" ht="25" x14ac:dyDescent="0.35">
      <c r="A12" s="12" t="s">
        <v>1985</v>
      </c>
      <c r="B12" s="12" t="s">
        <v>1986</v>
      </c>
      <c r="C12" s="12" t="s">
        <v>1987</v>
      </c>
      <c r="D12" s="12" t="s">
        <v>1988</v>
      </c>
    </row>
    <row r="13" spans="1:4" ht="25" x14ac:dyDescent="0.35">
      <c r="A13" s="12" t="s">
        <v>1989</v>
      </c>
      <c r="B13" s="12" t="s">
        <v>1990</v>
      </c>
      <c r="C13" s="12" t="s">
        <v>1991</v>
      </c>
      <c r="D13" s="12" t="s">
        <v>1992</v>
      </c>
    </row>
    <row r="14" spans="1:4" ht="25" x14ac:dyDescent="0.35">
      <c r="A14" s="12" t="s">
        <v>1772</v>
      </c>
      <c r="B14" s="12" t="s">
        <v>1993</v>
      </c>
      <c r="C14" s="12" t="s">
        <v>1994</v>
      </c>
      <c r="D14" s="12" t="s">
        <v>1995</v>
      </c>
    </row>
    <row r="15" spans="1:4" ht="25" x14ac:dyDescent="0.35">
      <c r="A15" s="12" t="s">
        <v>1996</v>
      </c>
      <c r="B15" s="12" t="s">
        <v>1997</v>
      </c>
      <c r="C15" s="12" t="s">
        <v>1998</v>
      </c>
      <c r="D15" s="12" t="s">
        <v>1999</v>
      </c>
    </row>
    <row r="16" spans="1:4" ht="25" x14ac:dyDescent="0.35">
      <c r="A16" s="12" t="s">
        <v>2000</v>
      </c>
      <c r="B16" s="12" t="s">
        <v>2001</v>
      </c>
      <c r="C16" s="12" t="s">
        <v>2002</v>
      </c>
      <c r="D16" s="12" t="s">
        <v>2003</v>
      </c>
    </row>
  </sheetData>
  <autoFilter ref="A1:D16" xr:uid="{00000000-0009-0000-0000-000019000000}"/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695C"/>
  </sheetPr>
  <dimension ref="A1:H10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0" customWidth="1"/>
    <col min="2" max="2" width="24" customWidth="1"/>
    <col min="3" max="3" width="20" customWidth="1"/>
    <col min="4" max="4" width="10" customWidth="1"/>
    <col min="5" max="5" width="6" customWidth="1"/>
    <col min="6" max="7" width="16" customWidth="1"/>
    <col min="8" max="8" width="60" customWidth="1"/>
  </cols>
  <sheetData>
    <row r="1" spans="1:8" ht="27.75" customHeight="1" x14ac:dyDescent="0.35">
      <c r="A1" s="11" t="s">
        <v>2004</v>
      </c>
      <c r="B1" s="11" t="s">
        <v>2005</v>
      </c>
      <c r="C1" s="11" t="s">
        <v>248</v>
      </c>
      <c r="D1" s="11" t="s">
        <v>2006</v>
      </c>
      <c r="E1" s="11" t="s">
        <v>2007</v>
      </c>
      <c r="F1" s="11" t="s">
        <v>2008</v>
      </c>
      <c r="G1" s="11" t="s">
        <v>2009</v>
      </c>
      <c r="H1" s="11" t="s">
        <v>472</v>
      </c>
    </row>
    <row r="2" spans="1:8" x14ac:dyDescent="0.35">
      <c r="A2" s="12" t="s">
        <v>1514</v>
      </c>
      <c r="B2" s="12" t="s">
        <v>2010</v>
      </c>
      <c r="C2" s="12" t="s">
        <v>2011</v>
      </c>
      <c r="D2" s="12" t="s">
        <v>2012</v>
      </c>
      <c r="E2" s="12" t="s">
        <v>2013</v>
      </c>
      <c r="F2" s="12" t="s">
        <v>2014</v>
      </c>
      <c r="G2" s="12" t="s">
        <v>388</v>
      </c>
      <c r="H2" s="12" t="s">
        <v>2015</v>
      </c>
    </row>
    <row r="3" spans="1:8" x14ac:dyDescent="0.35">
      <c r="A3" s="12" t="s">
        <v>1514</v>
      </c>
      <c r="B3" s="12" t="s">
        <v>2016</v>
      </c>
      <c r="C3" s="12" t="s">
        <v>2017</v>
      </c>
      <c r="D3" s="12"/>
      <c r="E3" s="12" t="s">
        <v>2013</v>
      </c>
      <c r="F3" s="12"/>
      <c r="G3" s="12" t="s">
        <v>2018</v>
      </c>
      <c r="H3" s="12" t="s">
        <v>2019</v>
      </c>
    </row>
    <row r="4" spans="1:8" x14ac:dyDescent="0.35">
      <c r="A4" s="12" t="s">
        <v>1514</v>
      </c>
      <c r="B4" s="12" t="s">
        <v>2020</v>
      </c>
      <c r="C4" s="12" t="s">
        <v>2021</v>
      </c>
      <c r="D4" s="12"/>
      <c r="E4" s="12" t="s">
        <v>2013</v>
      </c>
      <c r="F4" s="12"/>
      <c r="G4" s="12" t="s">
        <v>388</v>
      </c>
      <c r="H4" s="12" t="s">
        <v>2022</v>
      </c>
    </row>
    <row r="5" spans="1:8" x14ac:dyDescent="0.35">
      <c r="A5" s="12" t="s">
        <v>1514</v>
      </c>
      <c r="B5" s="12" t="s">
        <v>2023</v>
      </c>
      <c r="C5" s="12" t="s">
        <v>2024</v>
      </c>
      <c r="D5" s="12"/>
      <c r="E5" s="12" t="s">
        <v>2025</v>
      </c>
      <c r="F5" s="12"/>
      <c r="G5" s="12" t="s">
        <v>388</v>
      </c>
      <c r="H5" s="12" t="s">
        <v>2026</v>
      </c>
    </row>
    <row r="6" spans="1:8" x14ac:dyDescent="0.35">
      <c r="A6" s="12" t="s">
        <v>1514</v>
      </c>
      <c r="B6" s="12" t="s">
        <v>2027</v>
      </c>
      <c r="C6" s="12" t="s">
        <v>2028</v>
      </c>
      <c r="D6" s="12"/>
      <c r="E6" s="12" t="s">
        <v>2013</v>
      </c>
      <c r="F6" s="12" t="s">
        <v>2029</v>
      </c>
      <c r="G6" s="12" t="s">
        <v>388</v>
      </c>
      <c r="H6" s="12" t="s">
        <v>2030</v>
      </c>
    </row>
    <row r="7" spans="1:8" x14ac:dyDescent="0.35">
      <c r="A7" s="12" t="s">
        <v>1514</v>
      </c>
      <c r="B7" s="12" t="s">
        <v>2031</v>
      </c>
      <c r="C7" s="12" t="s">
        <v>2032</v>
      </c>
      <c r="D7" s="12"/>
      <c r="E7" s="12" t="s">
        <v>2013</v>
      </c>
      <c r="F7" s="12" t="s">
        <v>2033</v>
      </c>
      <c r="G7" s="12" t="s">
        <v>388</v>
      </c>
      <c r="H7" s="12"/>
    </row>
    <row r="8" spans="1:8" x14ac:dyDescent="0.35">
      <c r="A8" s="12" t="s">
        <v>1522</v>
      </c>
      <c r="B8" s="12" t="s">
        <v>2010</v>
      </c>
      <c r="C8" s="12" t="s">
        <v>2011</v>
      </c>
      <c r="D8" s="12" t="s">
        <v>2012</v>
      </c>
      <c r="E8" s="12" t="s">
        <v>2013</v>
      </c>
      <c r="F8" s="12" t="s">
        <v>2014</v>
      </c>
      <c r="G8" s="12" t="s">
        <v>388</v>
      </c>
      <c r="H8" s="12"/>
    </row>
    <row r="9" spans="1:8" x14ac:dyDescent="0.35">
      <c r="A9" s="12" t="s">
        <v>1522</v>
      </c>
      <c r="B9" s="12" t="s">
        <v>2034</v>
      </c>
      <c r="C9" s="12" t="s">
        <v>2011</v>
      </c>
      <c r="D9" s="12" t="s">
        <v>2035</v>
      </c>
      <c r="E9" s="12" t="s">
        <v>2013</v>
      </c>
      <c r="F9" s="12"/>
      <c r="G9" s="12" t="s">
        <v>2036</v>
      </c>
      <c r="H9" s="12" t="s">
        <v>619</v>
      </c>
    </row>
    <row r="10" spans="1:8" x14ac:dyDescent="0.35">
      <c r="A10" s="12" t="s">
        <v>1522</v>
      </c>
      <c r="B10" s="12" t="s">
        <v>2037</v>
      </c>
      <c r="C10" s="12" t="s">
        <v>2038</v>
      </c>
      <c r="D10" s="12"/>
      <c r="E10" s="12" t="s">
        <v>2013</v>
      </c>
      <c r="F10" s="12"/>
      <c r="G10" s="12" t="s">
        <v>2036</v>
      </c>
      <c r="H10" s="12" t="s">
        <v>2039</v>
      </c>
    </row>
    <row r="11" spans="1:8" x14ac:dyDescent="0.35">
      <c r="A11" s="12" t="s">
        <v>1522</v>
      </c>
      <c r="B11" s="12" t="s">
        <v>2040</v>
      </c>
      <c r="C11" s="12" t="s">
        <v>2024</v>
      </c>
      <c r="D11" s="12"/>
      <c r="E11" s="12" t="s">
        <v>2013</v>
      </c>
      <c r="F11" s="12"/>
      <c r="G11" s="12" t="s">
        <v>388</v>
      </c>
      <c r="H11" s="12" t="s">
        <v>2041</v>
      </c>
    </row>
    <row r="12" spans="1:8" x14ac:dyDescent="0.35">
      <c r="A12" s="12" t="s">
        <v>1522</v>
      </c>
      <c r="B12" s="12" t="s">
        <v>2042</v>
      </c>
      <c r="C12" s="12" t="s">
        <v>2043</v>
      </c>
      <c r="D12" s="12"/>
      <c r="E12" s="12" t="s">
        <v>2013</v>
      </c>
      <c r="F12" s="12" t="s">
        <v>2044</v>
      </c>
      <c r="G12" s="12" t="s">
        <v>388</v>
      </c>
      <c r="H12" s="12" t="s">
        <v>2045</v>
      </c>
    </row>
    <row r="13" spans="1:8" x14ac:dyDescent="0.35">
      <c r="A13" s="12" t="s">
        <v>1522</v>
      </c>
      <c r="B13" s="12" t="s">
        <v>2046</v>
      </c>
      <c r="C13" s="12" t="s">
        <v>2028</v>
      </c>
      <c r="D13" s="12"/>
      <c r="E13" s="12" t="s">
        <v>2013</v>
      </c>
      <c r="F13" s="12" t="s">
        <v>2047</v>
      </c>
      <c r="G13" s="12" t="s">
        <v>388</v>
      </c>
      <c r="H13" s="12" t="s">
        <v>2048</v>
      </c>
    </row>
    <row r="14" spans="1:8" x14ac:dyDescent="0.35">
      <c r="A14" s="12" t="s">
        <v>2049</v>
      </c>
      <c r="B14" s="12" t="s">
        <v>2010</v>
      </c>
      <c r="C14" s="12" t="s">
        <v>2050</v>
      </c>
      <c r="D14" s="12" t="s">
        <v>2012</v>
      </c>
      <c r="E14" s="12" t="s">
        <v>2013</v>
      </c>
      <c r="F14" s="12"/>
      <c r="G14" s="12" t="s">
        <v>388</v>
      </c>
      <c r="H14" s="12" t="s">
        <v>2051</v>
      </c>
    </row>
    <row r="15" spans="1:8" x14ac:dyDescent="0.35">
      <c r="A15" s="12" t="s">
        <v>2049</v>
      </c>
      <c r="B15" s="12" t="s">
        <v>2052</v>
      </c>
      <c r="C15" s="12" t="s">
        <v>2053</v>
      </c>
      <c r="D15" s="12"/>
      <c r="E15" s="12" t="s">
        <v>2013</v>
      </c>
      <c r="F15" s="12"/>
      <c r="G15" s="12" t="s">
        <v>2054</v>
      </c>
      <c r="H15" s="12" t="s">
        <v>2055</v>
      </c>
    </row>
    <row r="16" spans="1:8" x14ac:dyDescent="0.35">
      <c r="A16" s="12" t="s">
        <v>2049</v>
      </c>
      <c r="B16" s="12" t="s">
        <v>2056</v>
      </c>
      <c r="C16" s="12" t="s">
        <v>2057</v>
      </c>
      <c r="D16" s="12"/>
      <c r="E16" s="12" t="s">
        <v>2013</v>
      </c>
      <c r="F16" s="12"/>
      <c r="G16" s="12" t="s">
        <v>2054</v>
      </c>
      <c r="H16" s="12" t="s">
        <v>2058</v>
      </c>
    </row>
    <row r="17" spans="1:8" x14ac:dyDescent="0.35">
      <c r="A17" s="12" t="s">
        <v>2049</v>
      </c>
      <c r="B17" s="12" t="s">
        <v>2059</v>
      </c>
      <c r="C17" s="12" t="s">
        <v>2060</v>
      </c>
      <c r="D17" s="12"/>
      <c r="E17" s="12" t="s">
        <v>2013</v>
      </c>
      <c r="F17" s="12"/>
      <c r="G17" s="12" t="s">
        <v>388</v>
      </c>
      <c r="H17" s="12" t="s">
        <v>2061</v>
      </c>
    </row>
    <row r="18" spans="1:8" x14ac:dyDescent="0.35">
      <c r="A18" s="12" t="s">
        <v>2049</v>
      </c>
      <c r="B18" s="12" t="s">
        <v>2062</v>
      </c>
      <c r="C18" s="12" t="s">
        <v>2063</v>
      </c>
      <c r="D18" s="12"/>
      <c r="E18" s="12" t="s">
        <v>2013</v>
      </c>
      <c r="F18" s="12" t="s">
        <v>261</v>
      </c>
      <c r="G18" s="12" t="s">
        <v>388</v>
      </c>
      <c r="H18" s="12"/>
    </row>
    <row r="19" spans="1:8" x14ac:dyDescent="0.35">
      <c r="A19" s="12" t="s">
        <v>2049</v>
      </c>
      <c r="B19" s="12" t="s">
        <v>2064</v>
      </c>
      <c r="C19" s="12" t="s">
        <v>2065</v>
      </c>
      <c r="D19" s="12"/>
      <c r="E19" s="12" t="s">
        <v>2013</v>
      </c>
      <c r="F19" s="12" t="s">
        <v>2066</v>
      </c>
      <c r="G19" s="12" t="s">
        <v>388</v>
      </c>
      <c r="H19" s="12"/>
    </row>
    <row r="20" spans="1:8" x14ac:dyDescent="0.35">
      <c r="A20" s="12" t="s">
        <v>2049</v>
      </c>
      <c r="B20" s="12" t="s">
        <v>2067</v>
      </c>
      <c r="C20" s="12" t="s">
        <v>2068</v>
      </c>
      <c r="D20" s="12"/>
      <c r="E20" s="12" t="s">
        <v>2025</v>
      </c>
      <c r="F20" s="12"/>
      <c r="G20" s="12" t="s">
        <v>2036</v>
      </c>
      <c r="H20" s="12" t="s">
        <v>2069</v>
      </c>
    </row>
    <row r="21" spans="1:8" x14ac:dyDescent="0.35">
      <c r="A21" s="12" t="s">
        <v>2049</v>
      </c>
      <c r="B21" s="12" t="s">
        <v>2070</v>
      </c>
      <c r="C21" s="12" t="s">
        <v>2071</v>
      </c>
      <c r="D21" s="12"/>
      <c r="E21" s="12" t="s">
        <v>2025</v>
      </c>
      <c r="F21" s="12"/>
      <c r="G21" s="12" t="s">
        <v>388</v>
      </c>
      <c r="H21" s="12" t="s">
        <v>2072</v>
      </c>
    </row>
    <row r="22" spans="1:8" x14ac:dyDescent="0.35">
      <c r="A22" s="12" t="s">
        <v>2073</v>
      </c>
      <c r="B22" s="12" t="s">
        <v>2010</v>
      </c>
      <c r="C22" s="12" t="s">
        <v>2011</v>
      </c>
      <c r="D22" s="12" t="s">
        <v>2012</v>
      </c>
      <c r="E22" s="12" t="s">
        <v>2013</v>
      </c>
      <c r="F22" s="12" t="s">
        <v>2014</v>
      </c>
      <c r="G22" s="12" t="s">
        <v>388</v>
      </c>
      <c r="H22" s="12"/>
    </row>
    <row r="23" spans="1:8" x14ac:dyDescent="0.35">
      <c r="A23" s="12" t="s">
        <v>2073</v>
      </c>
      <c r="B23" s="12" t="s">
        <v>2034</v>
      </c>
      <c r="C23" s="12" t="s">
        <v>2011</v>
      </c>
      <c r="D23" s="12" t="s">
        <v>2035</v>
      </c>
      <c r="E23" s="12" t="s">
        <v>2013</v>
      </c>
      <c r="F23" s="12"/>
      <c r="G23" s="12" t="s">
        <v>2036</v>
      </c>
      <c r="H23" s="12"/>
    </row>
    <row r="24" spans="1:8" x14ac:dyDescent="0.35">
      <c r="A24" s="12" t="s">
        <v>2073</v>
      </c>
      <c r="B24" s="12" t="s">
        <v>2074</v>
      </c>
      <c r="C24" s="12" t="s">
        <v>2017</v>
      </c>
      <c r="D24" s="12"/>
      <c r="E24" s="12" t="s">
        <v>2013</v>
      </c>
      <c r="F24" s="12"/>
      <c r="G24" s="12" t="s">
        <v>388</v>
      </c>
      <c r="H24" s="12"/>
    </row>
    <row r="25" spans="1:8" x14ac:dyDescent="0.35">
      <c r="A25" s="12" t="s">
        <v>2075</v>
      </c>
      <c r="B25" s="12" t="s">
        <v>2076</v>
      </c>
      <c r="C25" s="12" t="s">
        <v>2011</v>
      </c>
      <c r="D25" s="12" t="s">
        <v>2077</v>
      </c>
      <c r="E25" s="12" t="s">
        <v>2013</v>
      </c>
      <c r="F25" s="12"/>
      <c r="G25" s="12" t="s">
        <v>388</v>
      </c>
      <c r="H25" s="12" t="s">
        <v>2078</v>
      </c>
    </row>
    <row r="26" spans="1:8" x14ac:dyDescent="0.35">
      <c r="A26" s="12" t="s">
        <v>2075</v>
      </c>
      <c r="B26" s="12" t="s">
        <v>2079</v>
      </c>
      <c r="C26" s="12" t="s">
        <v>2050</v>
      </c>
      <c r="D26" s="12" t="s">
        <v>2077</v>
      </c>
      <c r="E26" s="12" t="s">
        <v>2013</v>
      </c>
      <c r="F26" s="12"/>
      <c r="G26" s="12" t="s">
        <v>388</v>
      </c>
      <c r="H26" s="12"/>
    </row>
    <row r="27" spans="1:8" x14ac:dyDescent="0.35">
      <c r="A27" s="12" t="s">
        <v>2075</v>
      </c>
      <c r="B27" s="12" t="s">
        <v>2080</v>
      </c>
      <c r="C27" s="12" t="s">
        <v>2063</v>
      </c>
      <c r="D27" s="12"/>
      <c r="E27" s="12" t="s">
        <v>2013</v>
      </c>
      <c r="F27" s="12" t="s">
        <v>477</v>
      </c>
      <c r="G27" s="12" t="s">
        <v>388</v>
      </c>
      <c r="H27" s="12"/>
    </row>
    <row r="28" spans="1:8" x14ac:dyDescent="0.35">
      <c r="A28" s="12" t="s">
        <v>2075</v>
      </c>
      <c r="B28" s="12" t="s">
        <v>2081</v>
      </c>
      <c r="C28" s="12" t="s">
        <v>2082</v>
      </c>
      <c r="D28" s="12"/>
      <c r="E28" s="12" t="s">
        <v>2025</v>
      </c>
      <c r="F28" s="12"/>
      <c r="G28" s="12" t="s">
        <v>388</v>
      </c>
      <c r="H28" s="12" t="s">
        <v>2083</v>
      </c>
    </row>
    <row r="29" spans="1:8" x14ac:dyDescent="0.35">
      <c r="A29" s="12" t="s">
        <v>2075</v>
      </c>
      <c r="B29" s="12" t="s">
        <v>2084</v>
      </c>
      <c r="C29" s="12" t="s">
        <v>2085</v>
      </c>
      <c r="D29" s="12"/>
      <c r="E29" s="12" t="s">
        <v>2025</v>
      </c>
      <c r="F29" s="12"/>
      <c r="G29" s="12" t="s">
        <v>388</v>
      </c>
      <c r="H29" s="12" t="s">
        <v>2086</v>
      </c>
    </row>
    <row r="30" spans="1:8" x14ac:dyDescent="0.35">
      <c r="A30" s="12" t="s">
        <v>1558</v>
      </c>
      <c r="B30" s="12" t="s">
        <v>2010</v>
      </c>
      <c r="C30" s="12" t="s">
        <v>2011</v>
      </c>
      <c r="D30" s="12" t="s">
        <v>2012</v>
      </c>
      <c r="E30" s="12" t="s">
        <v>2013</v>
      </c>
      <c r="F30" s="12" t="s">
        <v>2014</v>
      </c>
      <c r="G30" s="12" t="s">
        <v>388</v>
      </c>
      <c r="H30" s="12" t="s">
        <v>2087</v>
      </c>
    </row>
    <row r="31" spans="1:8" x14ac:dyDescent="0.35">
      <c r="A31" s="12" t="s">
        <v>1558</v>
      </c>
      <c r="B31" s="12" t="s">
        <v>2034</v>
      </c>
      <c r="C31" s="12" t="s">
        <v>2011</v>
      </c>
      <c r="D31" s="12" t="s">
        <v>2035</v>
      </c>
      <c r="E31" s="12" t="s">
        <v>2013</v>
      </c>
      <c r="F31" s="12"/>
      <c r="G31" s="12" t="s">
        <v>2036</v>
      </c>
      <c r="H31" s="12"/>
    </row>
    <row r="32" spans="1:8" x14ac:dyDescent="0.35">
      <c r="A32" s="12" t="s">
        <v>1558</v>
      </c>
      <c r="B32" s="12" t="s">
        <v>2088</v>
      </c>
      <c r="C32" s="12" t="s">
        <v>2011</v>
      </c>
      <c r="D32" s="12" t="s">
        <v>2089</v>
      </c>
      <c r="E32" s="12" t="s">
        <v>2013</v>
      </c>
      <c r="F32" s="12"/>
      <c r="G32" s="12" t="s">
        <v>2036</v>
      </c>
      <c r="H32" s="12"/>
    </row>
    <row r="33" spans="1:8" ht="25" x14ac:dyDescent="0.35">
      <c r="A33" s="12" t="s">
        <v>1558</v>
      </c>
      <c r="B33" s="12" t="s">
        <v>2090</v>
      </c>
      <c r="C33" s="12" t="s">
        <v>2017</v>
      </c>
      <c r="D33" s="12"/>
      <c r="E33" s="12" t="s">
        <v>2025</v>
      </c>
      <c r="F33" s="12"/>
      <c r="G33" s="12" t="s">
        <v>2091</v>
      </c>
      <c r="H33" s="12" t="s">
        <v>2092</v>
      </c>
    </row>
    <row r="34" spans="1:8" x14ac:dyDescent="0.35">
      <c r="A34" s="12" t="s">
        <v>1558</v>
      </c>
      <c r="B34" s="12" t="s">
        <v>2079</v>
      </c>
      <c r="C34" s="12" t="s">
        <v>2050</v>
      </c>
      <c r="D34" s="12" t="s">
        <v>2089</v>
      </c>
      <c r="E34" s="12" t="s">
        <v>2013</v>
      </c>
      <c r="F34" s="12"/>
      <c r="G34" s="12" t="s">
        <v>2036</v>
      </c>
      <c r="H34" s="12"/>
    </row>
    <row r="35" spans="1:8" x14ac:dyDescent="0.35">
      <c r="A35" s="12" t="s">
        <v>1558</v>
      </c>
      <c r="B35" s="12" t="s">
        <v>2093</v>
      </c>
      <c r="C35" s="12" t="s">
        <v>2094</v>
      </c>
      <c r="D35" s="12"/>
      <c r="E35" s="12" t="s">
        <v>2013</v>
      </c>
      <c r="F35" s="12"/>
      <c r="G35" s="12" t="s">
        <v>388</v>
      </c>
      <c r="H35" s="12" t="s">
        <v>2095</v>
      </c>
    </row>
    <row r="36" spans="1:8" x14ac:dyDescent="0.35">
      <c r="A36" s="12" t="s">
        <v>1558</v>
      </c>
      <c r="B36" s="12" t="s">
        <v>2096</v>
      </c>
      <c r="C36" s="12" t="s">
        <v>2057</v>
      </c>
      <c r="D36" s="12"/>
      <c r="E36" s="12" t="s">
        <v>2013</v>
      </c>
      <c r="F36" s="12"/>
      <c r="G36" s="12" t="s">
        <v>388</v>
      </c>
      <c r="H36" s="12" t="s">
        <v>2097</v>
      </c>
    </row>
    <row r="37" spans="1:8" x14ac:dyDescent="0.35">
      <c r="A37" s="12" t="s">
        <v>1558</v>
      </c>
      <c r="B37" s="12" t="s">
        <v>2098</v>
      </c>
      <c r="C37" s="12" t="s">
        <v>2063</v>
      </c>
      <c r="D37" s="12"/>
      <c r="E37" s="12" t="s">
        <v>2013</v>
      </c>
      <c r="F37" s="12"/>
      <c r="G37" s="12" t="s">
        <v>388</v>
      </c>
      <c r="H37" s="12"/>
    </row>
    <row r="38" spans="1:8" x14ac:dyDescent="0.35">
      <c r="A38" s="12" t="s">
        <v>1558</v>
      </c>
      <c r="B38" s="12" t="s">
        <v>2099</v>
      </c>
      <c r="C38" s="12" t="s">
        <v>2100</v>
      </c>
      <c r="D38" s="12"/>
      <c r="E38" s="12" t="s">
        <v>2025</v>
      </c>
      <c r="F38" s="12"/>
      <c r="G38" s="12" t="s">
        <v>388</v>
      </c>
      <c r="H38" s="12" t="s">
        <v>2101</v>
      </c>
    </row>
    <row r="39" spans="1:8" x14ac:dyDescent="0.35">
      <c r="A39" s="12" t="s">
        <v>1558</v>
      </c>
      <c r="B39" s="12" t="s">
        <v>2102</v>
      </c>
      <c r="C39" s="12" t="s">
        <v>2100</v>
      </c>
      <c r="D39" s="12"/>
      <c r="E39" s="12" t="s">
        <v>2025</v>
      </c>
      <c r="F39" s="12"/>
      <c r="G39" s="12" t="s">
        <v>388</v>
      </c>
      <c r="H39" s="12" t="s">
        <v>2103</v>
      </c>
    </row>
    <row r="40" spans="1:8" x14ac:dyDescent="0.35">
      <c r="A40" s="12" t="s">
        <v>1558</v>
      </c>
      <c r="B40" s="12" t="s">
        <v>2046</v>
      </c>
      <c r="C40" s="12" t="s">
        <v>2028</v>
      </c>
      <c r="D40" s="12"/>
      <c r="E40" s="12" t="s">
        <v>2013</v>
      </c>
      <c r="F40" s="12" t="s">
        <v>2104</v>
      </c>
      <c r="G40" s="12" t="s">
        <v>2036</v>
      </c>
      <c r="H40" s="12" t="s">
        <v>2105</v>
      </c>
    </row>
    <row r="41" spans="1:8" x14ac:dyDescent="0.35">
      <c r="A41" s="12" t="s">
        <v>1558</v>
      </c>
      <c r="B41" s="12" t="s">
        <v>2106</v>
      </c>
      <c r="C41" s="12" t="s">
        <v>2011</v>
      </c>
      <c r="D41" s="12" t="s">
        <v>2107</v>
      </c>
      <c r="E41" s="12" t="s">
        <v>2025</v>
      </c>
      <c r="F41" s="12"/>
      <c r="G41" s="12" t="s">
        <v>388</v>
      </c>
      <c r="H41" s="12" t="s">
        <v>2108</v>
      </c>
    </row>
    <row r="42" spans="1:8" x14ac:dyDescent="0.35">
      <c r="A42" s="12" t="s">
        <v>1558</v>
      </c>
      <c r="B42" s="12" t="s">
        <v>2109</v>
      </c>
      <c r="C42" s="12" t="s">
        <v>2011</v>
      </c>
      <c r="D42" s="12" t="s">
        <v>2089</v>
      </c>
      <c r="E42" s="12" t="s">
        <v>2025</v>
      </c>
      <c r="F42" s="12"/>
      <c r="G42" s="12" t="s">
        <v>2036</v>
      </c>
      <c r="H42" s="12" t="s">
        <v>2110</v>
      </c>
    </row>
    <row r="43" spans="1:8" x14ac:dyDescent="0.35">
      <c r="A43" s="12" t="s">
        <v>1558</v>
      </c>
      <c r="B43" s="12" t="s">
        <v>2111</v>
      </c>
      <c r="C43" s="12" t="s">
        <v>2032</v>
      </c>
      <c r="D43" s="12"/>
      <c r="E43" s="12" t="s">
        <v>2013</v>
      </c>
      <c r="F43" s="12" t="s">
        <v>2033</v>
      </c>
      <c r="G43" s="12" t="s">
        <v>2036</v>
      </c>
      <c r="H43" s="12"/>
    </row>
    <row r="44" spans="1:8" x14ac:dyDescent="0.35">
      <c r="A44" s="12" t="s">
        <v>2112</v>
      </c>
      <c r="B44" s="12" t="s">
        <v>2010</v>
      </c>
      <c r="C44" s="12" t="s">
        <v>2011</v>
      </c>
      <c r="D44" s="12" t="s">
        <v>2012</v>
      </c>
      <c r="E44" s="12" t="s">
        <v>2013</v>
      </c>
      <c r="F44" s="12" t="s">
        <v>2014</v>
      </c>
      <c r="G44" s="12" t="s">
        <v>388</v>
      </c>
      <c r="H44" s="12" t="s">
        <v>2113</v>
      </c>
    </row>
    <row r="45" spans="1:8" x14ac:dyDescent="0.35">
      <c r="A45" s="12" t="s">
        <v>2112</v>
      </c>
      <c r="B45" s="12" t="s">
        <v>2114</v>
      </c>
      <c r="C45" s="12" t="s">
        <v>2011</v>
      </c>
      <c r="D45" s="12" t="s">
        <v>2107</v>
      </c>
      <c r="E45" s="12" t="s">
        <v>2013</v>
      </c>
      <c r="F45" s="12"/>
      <c r="G45" s="12" t="s">
        <v>2036</v>
      </c>
      <c r="H45" s="12"/>
    </row>
    <row r="46" spans="1:8" x14ac:dyDescent="0.35">
      <c r="A46" s="12" t="s">
        <v>2112</v>
      </c>
      <c r="B46" s="12" t="s">
        <v>2115</v>
      </c>
      <c r="C46" s="12" t="s">
        <v>2063</v>
      </c>
      <c r="D46" s="12"/>
      <c r="E46" s="12" t="s">
        <v>2013</v>
      </c>
      <c r="F46" s="12"/>
      <c r="G46" s="12" t="s">
        <v>388</v>
      </c>
      <c r="H46" s="12"/>
    </row>
    <row r="47" spans="1:8" x14ac:dyDescent="0.35">
      <c r="A47" s="12" t="s">
        <v>2112</v>
      </c>
      <c r="B47" s="12" t="s">
        <v>2116</v>
      </c>
      <c r="C47" s="12" t="s">
        <v>2100</v>
      </c>
      <c r="D47" s="12"/>
      <c r="E47" s="12" t="s">
        <v>2013</v>
      </c>
      <c r="F47" s="12"/>
      <c r="G47" s="12" t="s">
        <v>388</v>
      </c>
      <c r="H47" s="12"/>
    </row>
    <row r="48" spans="1:8" x14ac:dyDescent="0.35">
      <c r="A48" s="12" t="s">
        <v>2112</v>
      </c>
      <c r="B48" s="12" t="s">
        <v>2117</v>
      </c>
      <c r="C48" s="12" t="s">
        <v>2118</v>
      </c>
      <c r="D48" s="12"/>
      <c r="E48" s="12" t="s">
        <v>2013</v>
      </c>
      <c r="F48" s="12" t="s">
        <v>477</v>
      </c>
      <c r="G48" s="12" t="s">
        <v>388</v>
      </c>
      <c r="H48" s="12" t="s">
        <v>2119</v>
      </c>
    </row>
    <row r="49" spans="1:8" x14ac:dyDescent="0.35">
      <c r="A49" s="12" t="s">
        <v>2112</v>
      </c>
      <c r="B49" s="12" t="s">
        <v>2120</v>
      </c>
      <c r="C49" s="12" t="s">
        <v>2032</v>
      </c>
      <c r="D49" s="12"/>
      <c r="E49" s="12" t="s">
        <v>2013</v>
      </c>
      <c r="F49" s="12"/>
      <c r="G49" s="12" t="s">
        <v>2036</v>
      </c>
      <c r="H49" s="12"/>
    </row>
    <row r="50" spans="1:8" x14ac:dyDescent="0.35">
      <c r="A50" s="12" t="s">
        <v>1565</v>
      </c>
      <c r="B50" s="12" t="s">
        <v>2010</v>
      </c>
      <c r="C50" s="12" t="s">
        <v>2011</v>
      </c>
      <c r="D50" s="12" t="s">
        <v>2012</v>
      </c>
      <c r="E50" s="12" t="s">
        <v>2013</v>
      </c>
      <c r="F50" s="12" t="s">
        <v>2014</v>
      </c>
      <c r="G50" s="12" t="s">
        <v>388</v>
      </c>
      <c r="H50" s="12" t="s">
        <v>2121</v>
      </c>
    </row>
    <row r="51" spans="1:8" x14ac:dyDescent="0.35">
      <c r="A51" s="12" t="s">
        <v>1565</v>
      </c>
      <c r="B51" s="12" t="s">
        <v>2088</v>
      </c>
      <c r="C51" s="12" t="s">
        <v>2011</v>
      </c>
      <c r="D51" s="12" t="s">
        <v>2089</v>
      </c>
      <c r="E51" s="12" t="s">
        <v>2013</v>
      </c>
      <c r="F51" s="12"/>
      <c r="G51" s="12" t="s">
        <v>2122</v>
      </c>
      <c r="H51" s="12"/>
    </row>
    <row r="52" spans="1:8" x14ac:dyDescent="0.35">
      <c r="A52" s="12" t="s">
        <v>1565</v>
      </c>
      <c r="B52" s="12" t="s">
        <v>2079</v>
      </c>
      <c r="C52" s="12" t="s">
        <v>2050</v>
      </c>
      <c r="D52" s="12" t="s">
        <v>2089</v>
      </c>
      <c r="E52" s="12" t="s">
        <v>2013</v>
      </c>
      <c r="F52" s="12"/>
      <c r="G52" s="12" t="s">
        <v>2122</v>
      </c>
      <c r="H52" s="12"/>
    </row>
    <row r="53" spans="1:8" x14ac:dyDescent="0.35">
      <c r="A53" s="12" t="s">
        <v>1565</v>
      </c>
      <c r="B53" s="12" t="s">
        <v>2123</v>
      </c>
      <c r="C53" s="12" t="s">
        <v>2063</v>
      </c>
      <c r="D53" s="12"/>
      <c r="E53" s="12" t="s">
        <v>2013</v>
      </c>
      <c r="F53" s="12" t="s">
        <v>477</v>
      </c>
      <c r="G53" s="12" t="s">
        <v>388</v>
      </c>
      <c r="H53" s="12"/>
    </row>
    <row r="54" spans="1:8" x14ac:dyDescent="0.35">
      <c r="A54" s="12" t="s">
        <v>1565</v>
      </c>
      <c r="B54" s="12" t="s">
        <v>2124</v>
      </c>
      <c r="C54" s="12" t="s">
        <v>2100</v>
      </c>
      <c r="D54" s="12"/>
      <c r="E54" s="12" t="s">
        <v>2013</v>
      </c>
      <c r="F54" s="12" t="s">
        <v>477</v>
      </c>
      <c r="G54" s="12" t="s">
        <v>388</v>
      </c>
      <c r="H54" s="12"/>
    </row>
    <row r="55" spans="1:8" x14ac:dyDescent="0.35">
      <c r="A55" s="12" t="s">
        <v>1565</v>
      </c>
      <c r="B55" s="12" t="s">
        <v>2125</v>
      </c>
      <c r="C55" s="12" t="s">
        <v>2126</v>
      </c>
      <c r="D55" s="12"/>
      <c r="E55" s="12" t="s">
        <v>2013</v>
      </c>
      <c r="F55" s="12" t="s">
        <v>477</v>
      </c>
      <c r="G55" s="12" t="s">
        <v>388</v>
      </c>
      <c r="H55" s="12"/>
    </row>
    <row r="56" spans="1:8" x14ac:dyDescent="0.35">
      <c r="A56" s="12" t="s">
        <v>2127</v>
      </c>
      <c r="B56" s="12" t="s">
        <v>2034</v>
      </c>
      <c r="C56" s="12" t="s">
        <v>2011</v>
      </c>
      <c r="D56" s="12" t="s">
        <v>2077</v>
      </c>
      <c r="E56" s="12" t="s">
        <v>2013</v>
      </c>
      <c r="F56" s="12"/>
      <c r="G56" s="12" t="s">
        <v>388</v>
      </c>
      <c r="H56" s="12" t="s">
        <v>2128</v>
      </c>
    </row>
    <row r="57" spans="1:8" x14ac:dyDescent="0.35">
      <c r="A57" s="12" t="s">
        <v>2127</v>
      </c>
      <c r="B57" s="12" t="s">
        <v>2079</v>
      </c>
      <c r="C57" s="12" t="s">
        <v>2050</v>
      </c>
      <c r="D57" s="12" t="s">
        <v>2077</v>
      </c>
      <c r="E57" s="12" t="s">
        <v>2013</v>
      </c>
      <c r="F57" s="12"/>
      <c r="G57" s="12" t="s">
        <v>388</v>
      </c>
      <c r="H57" s="12"/>
    </row>
    <row r="58" spans="1:8" x14ac:dyDescent="0.35">
      <c r="A58" s="12" t="s">
        <v>2127</v>
      </c>
      <c r="B58" s="12" t="s">
        <v>2098</v>
      </c>
      <c r="C58" s="12" t="s">
        <v>2063</v>
      </c>
      <c r="D58" s="12"/>
      <c r="E58" s="12" t="s">
        <v>2013</v>
      </c>
      <c r="F58" s="12"/>
      <c r="G58" s="12" t="s">
        <v>388</v>
      </c>
      <c r="H58" s="12"/>
    </row>
    <row r="59" spans="1:8" x14ac:dyDescent="0.35">
      <c r="A59" s="12" t="s">
        <v>2127</v>
      </c>
      <c r="B59" s="12" t="s">
        <v>2129</v>
      </c>
      <c r="C59" s="12" t="s">
        <v>2100</v>
      </c>
      <c r="D59" s="12"/>
      <c r="E59" s="12" t="s">
        <v>2013</v>
      </c>
      <c r="F59" s="12"/>
      <c r="G59" s="12" t="s">
        <v>388</v>
      </c>
      <c r="H59" s="12"/>
    </row>
    <row r="60" spans="1:8" x14ac:dyDescent="0.35">
      <c r="A60" s="12" t="s">
        <v>2130</v>
      </c>
      <c r="B60" s="12" t="s">
        <v>2010</v>
      </c>
      <c r="C60" s="12" t="s">
        <v>2011</v>
      </c>
      <c r="D60" s="12" t="s">
        <v>2012</v>
      </c>
      <c r="E60" s="12" t="s">
        <v>2013</v>
      </c>
      <c r="F60" s="12" t="s">
        <v>2014</v>
      </c>
      <c r="G60" s="12" t="s">
        <v>388</v>
      </c>
      <c r="H60" s="12" t="s">
        <v>2131</v>
      </c>
    </row>
    <row r="61" spans="1:8" x14ac:dyDescent="0.35">
      <c r="A61" s="12" t="s">
        <v>2130</v>
      </c>
      <c r="B61" s="12" t="s">
        <v>2079</v>
      </c>
      <c r="C61" s="12" t="s">
        <v>2050</v>
      </c>
      <c r="D61" s="12" t="s">
        <v>2089</v>
      </c>
      <c r="E61" s="12" t="s">
        <v>2013</v>
      </c>
      <c r="F61" s="12"/>
      <c r="G61" s="12" t="s">
        <v>2036</v>
      </c>
      <c r="H61" s="12"/>
    </row>
    <row r="62" spans="1:8" x14ac:dyDescent="0.35">
      <c r="A62" s="12" t="s">
        <v>2130</v>
      </c>
      <c r="B62" s="12" t="s">
        <v>2132</v>
      </c>
      <c r="C62" s="12" t="s">
        <v>2068</v>
      </c>
      <c r="D62" s="12"/>
      <c r="E62" s="12" t="s">
        <v>2013</v>
      </c>
      <c r="F62" s="12"/>
      <c r="G62" s="12" t="s">
        <v>388</v>
      </c>
      <c r="H62" s="12"/>
    </row>
    <row r="63" spans="1:8" x14ac:dyDescent="0.35">
      <c r="A63" s="12" t="s">
        <v>2130</v>
      </c>
      <c r="B63" s="12" t="s">
        <v>2133</v>
      </c>
      <c r="C63" s="12" t="s">
        <v>2134</v>
      </c>
      <c r="D63" s="12"/>
      <c r="E63" s="12" t="s">
        <v>2013</v>
      </c>
      <c r="F63" s="12"/>
      <c r="G63" s="12" t="s">
        <v>388</v>
      </c>
      <c r="H63" s="12"/>
    </row>
    <row r="64" spans="1:8" x14ac:dyDescent="0.35">
      <c r="A64" s="12" t="s">
        <v>1586</v>
      </c>
      <c r="B64" s="12" t="s">
        <v>2010</v>
      </c>
      <c r="C64" s="12" t="s">
        <v>2011</v>
      </c>
      <c r="D64" s="12" t="s">
        <v>2012</v>
      </c>
      <c r="E64" s="12" t="s">
        <v>2013</v>
      </c>
      <c r="F64" s="12" t="s">
        <v>2014</v>
      </c>
      <c r="G64" s="12" t="s">
        <v>388</v>
      </c>
      <c r="H64" s="12"/>
    </row>
    <row r="65" spans="1:8" ht="25" x14ac:dyDescent="0.35">
      <c r="A65" s="12" t="s">
        <v>1586</v>
      </c>
      <c r="B65" s="12" t="s">
        <v>2074</v>
      </c>
      <c r="C65" s="12" t="s">
        <v>2017</v>
      </c>
      <c r="D65" s="12"/>
      <c r="E65" s="12" t="s">
        <v>2013</v>
      </c>
      <c r="F65" s="12"/>
      <c r="G65" s="12" t="s">
        <v>2135</v>
      </c>
      <c r="H65" s="12"/>
    </row>
    <row r="66" spans="1:8" x14ac:dyDescent="0.35">
      <c r="A66" s="12" t="s">
        <v>1586</v>
      </c>
      <c r="B66" s="12" t="s">
        <v>2136</v>
      </c>
      <c r="C66" s="12" t="s">
        <v>2063</v>
      </c>
      <c r="D66" s="12"/>
      <c r="E66" s="12" t="s">
        <v>2013</v>
      </c>
      <c r="F66" s="12" t="s">
        <v>261</v>
      </c>
      <c r="G66" s="12" t="s">
        <v>388</v>
      </c>
      <c r="H66" s="12" t="s">
        <v>2137</v>
      </c>
    </row>
    <row r="67" spans="1:8" x14ac:dyDescent="0.35">
      <c r="A67" s="12" t="s">
        <v>1586</v>
      </c>
      <c r="B67" s="12" t="s">
        <v>2138</v>
      </c>
      <c r="C67" s="12" t="s">
        <v>2071</v>
      </c>
      <c r="D67" s="12"/>
      <c r="E67" s="12" t="s">
        <v>2013</v>
      </c>
      <c r="F67" s="12"/>
      <c r="G67" s="12" t="s">
        <v>388</v>
      </c>
      <c r="H67" s="12" t="s">
        <v>2139</v>
      </c>
    </row>
    <row r="68" spans="1:8" x14ac:dyDescent="0.35">
      <c r="A68" s="12" t="s">
        <v>1586</v>
      </c>
      <c r="B68" s="12" t="s">
        <v>2140</v>
      </c>
      <c r="C68" s="12" t="s">
        <v>2060</v>
      </c>
      <c r="D68" s="12"/>
      <c r="E68" s="12" t="s">
        <v>2013</v>
      </c>
      <c r="F68" s="12" t="s">
        <v>2141</v>
      </c>
      <c r="G68" s="12" t="s">
        <v>388</v>
      </c>
      <c r="H68" s="12" t="s">
        <v>2142</v>
      </c>
    </row>
    <row r="69" spans="1:8" x14ac:dyDescent="0.35">
      <c r="A69" s="12" t="s">
        <v>2143</v>
      </c>
      <c r="B69" s="12" t="s">
        <v>2010</v>
      </c>
      <c r="C69" s="12" t="s">
        <v>2011</v>
      </c>
      <c r="D69" s="12" t="s">
        <v>2012</v>
      </c>
      <c r="E69" s="12" t="s">
        <v>2013</v>
      </c>
      <c r="F69" s="12" t="s">
        <v>2014</v>
      </c>
      <c r="G69" s="12" t="s">
        <v>388</v>
      </c>
      <c r="H69" s="12" t="s">
        <v>2144</v>
      </c>
    </row>
    <row r="70" spans="1:8" x14ac:dyDescent="0.35">
      <c r="A70" s="12" t="s">
        <v>2143</v>
      </c>
      <c r="B70" s="12" t="s">
        <v>2109</v>
      </c>
      <c r="C70" s="12" t="s">
        <v>2011</v>
      </c>
      <c r="D70" s="12" t="s">
        <v>2089</v>
      </c>
      <c r="E70" s="12" t="s">
        <v>2013</v>
      </c>
      <c r="F70" s="12"/>
      <c r="G70" s="12" t="s">
        <v>2036</v>
      </c>
      <c r="H70" s="12"/>
    </row>
    <row r="71" spans="1:8" x14ac:dyDescent="0.35">
      <c r="A71" s="12" t="s">
        <v>2143</v>
      </c>
      <c r="B71" s="12" t="s">
        <v>2079</v>
      </c>
      <c r="C71" s="12" t="s">
        <v>2050</v>
      </c>
      <c r="D71" s="12" t="s">
        <v>2089</v>
      </c>
      <c r="E71" s="12" t="s">
        <v>2013</v>
      </c>
      <c r="F71" s="12"/>
      <c r="G71" s="12" t="s">
        <v>2036</v>
      </c>
      <c r="H71" s="12"/>
    </row>
    <row r="72" spans="1:8" x14ac:dyDescent="0.35">
      <c r="A72" s="12" t="s">
        <v>2143</v>
      </c>
      <c r="B72" s="12" t="s">
        <v>2145</v>
      </c>
      <c r="C72" s="12" t="s">
        <v>2071</v>
      </c>
      <c r="D72" s="12"/>
      <c r="E72" s="12" t="s">
        <v>2013</v>
      </c>
      <c r="F72" s="12"/>
      <c r="G72" s="12" t="s">
        <v>388</v>
      </c>
      <c r="H72" s="12" t="s">
        <v>2146</v>
      </c>
    </row>
    <row r="73" spans="1:8" x14ac:dyDescent="0.35">
      <c r="A73" s="12" t="s">
        <v>2143</v>
      </c>
      <c r="B73" s="12" t="s">
        <v>2147</v>
      </c>
      <c r="C73" s="12" t="s">
        <v>2032</v>
      </c>
      <c r="D73" s="12"/>
      <c r="E73" s="12" t="s">
        <v>2013</v>
      </c>
      <c r="F73" s="12" t="s">
        <v>2033</v>
      </c>
      <c r="G73" s="12" t="s">
        <v>2036</v>
      </c>
      <c r="H73" s="12"/>
    </row>
    <row r="74" spans="1:8" x14ac:dyDescent="0.35">
      <c r="A74" s="12" t="s">
        <v>2148</v>
      </c>
      <c r="B74" s="12" t="s">
        <v>2010</v>
      </c>
      <c r="C74" s="12" t="s">
        <v>2011</v>
      </c>
      <c r="D74" s="12" t="s">
        <v>2012</v>
      </c>
      <c r="E74" s="12" t="s">
        <v>2013</v>
      </c>
      <c r="F74" s="12" t="s">
        <v>2014</v>
      </c>
      <c r="G74" s="12" t="s">
        <v>388</v>
      </c>
      <c r="H74" s="12"/>
    </row>
    <row r="75" spans="1:8" x14ac:dyDescent="0.35">
      <c r="A75" s="12" t="s">
        <v>2148</v>
      </c>
      <c r="B75" s="12" t="s">
        <v>2149</v>
      </c>
      <c r="C75" s="12" t="s">
        <v>2028</v>
      </c>
      <c r="D75" s="12"/>
      <c r="E75" s="12" t="s">
        <v>2013</v>
      </c>
      <c r="F75" s="12"/>
      <c r="G75" s="12" t="s">
        <v>2036</v>
      </c>
      <c r="H75" s="12" t="s">
        <v>2150</v>
      </c>
    </row>
    <row r="76" spans="1:8" x14ac:dyDescent="0.35">
      <c r="A76" s="12" t="s">
        <v>2148</v>
      </c>
      <c r="B76" s="12" t="s">
        <v>2151</v>
      </c>
      <c r="C76" s="12" t="s">
        <v>2011</v>
      </c>
      <c r="D76" s="12"/>
      <c r="E76" s="12" t="s">
        <v>2013</v>
      </c>
      <c r="F76" s="12"/>
      <c r="G76" s="12" t="s">
        <v>2036</v>
      </c>
      <c r="H76" s="12"/>
    </row>
    <row r="77" spans="1:8" x14ac:dyDescent="0.35">
      <c r="A77" s="12" t="s">
        <v>2148</v>
      </c>
      <c r="B77" s="12" t="s">
        <v>2152</v>
      </c>
      <c r="C77" s="12" t="s">
        <v>2053</v>
      </c>
      <c r="D77" s="12"/>
      <c r="E77" s="12" t="s">
        <v>2013</v>
      </c>
      <c r="F77" s="12"/>
      <c r="G77" s="12" t="s">
        <v>388</v>
      </c>
      <c r="H77" s="12" t="s">
        <v>2153</v>
      </c>
    </row>
    <row r="78" spans="1:8" x14ac:dyDescent="0.35">
      <c r="A78" s="12" t="s">
        <v>2148</v>
      </c>
      <c r="B78" s="12" t="s">
        <v>2154</v>
      </c>
      <c r="C78" s="12" t="s">
        <v>2155</v>
      </c>
      <c r="D78" s="12"/>
      <c r="E78" s="12" t="s">
        <v>2013</v>
      </c>
      <c r="F78" s="12"/>
      <c r="G78" s="12" t="s">
        <v>388</v>
      </c>
      <c r="H78" s="12"/>
    </row>
    <row r="79" spans="1:8" x14ac:dyDescent="0.35">
      <c r="A79" s="12" t="s">
        <v>2148</v>
      </c>
      <c r="B79" s="12" t="s">
        <v>2156</v>
      </c>
      <c r="C79" s="12" t="s">
        <v>2043</v>
      </c>
      <c r="D79" s="12"/>
      <c r="E79" s="12" t="s">
        <v>2013</v>
      </c>
      <c r="F79" s="12" t="s">
        <v>2157</v>
      </c>
      <c r="G79" s="12" t="s">
        <v>388</v>
      </c>
      <c r="H79" s="12" t="s">
        <v>2158</v>
      </c>
    </row>
    <row r="80" spans="1:8" x14ac:dyDescent="0.35">
      <c r="A80" s="12" t="s">
        <v>685</v>
      </c>
      <c r="B80" s="12" t="s">
        <v>2010</v>
      </c>
      <c r="C80" s="12" t="s">
        <v>2011</v>
      </c>
      <c r="D80" s="12" t="s">
        <v>2012</v>
      </c>
      <c r="E80" s="12" t="s">
        <v>2013</v>
      </c>
      <c r="F80" s="12" t="s">
        <v>2014</v>
      </c>
      <c r="G80" s="12" t="s">
        <v>388</v>
      </c>
      <c r="H80" s="12"/>
    </row>
    <row r="81" spans="1:8" x14ac:dyDescent="0.35">
      <c r="A81" s="12" t="s">
        <v>685</v>
      </c>
      <c r="B81" s="12" t="s">
        <v>2034</v>
      </c>
      <c r="C81" s="12" t="s">
        <v>2011</v>
      </c>
      <c r="D81" s="12" t="s">
        <v>2089</v>
      </c>
      <c r="E81" s="12" t="s">
        <v>2013</v>
      </c>
      <c r="F81" s="12"/>
      <c r="G81" s="12" t="s">
        <v>2036</v>
      </c>
      <c r="H81" s="12"/>
    </row>
    <row r="82" spans="1:8" x14ac:dyDescent="0.35">
      <c r="A82" s="12" t="s">
        <v>685</v>
      </c>
      <c r="B82" s="12" t="s">
        <v>2159</v>
      </c>
      <c r="C82" s="12" t="s">
        <v>2071</v>
      </c>
      <c r="D82" s="12"/>
      <c r="E82" s="12" t="s">
        <v>2013</v>
      </c>
      <c r="F82" s="12"/>
      <c r="G82" s="12" t="s">
        <v>388</v>
      </c>
      <c r="H82" s="12" t="s">
        <v>2160</v>
      </c>
    </row>
    <row r="83" spans="1:8" x14ac:dyDescent="0.35">
      <c r="A83" s="12" t="s">
        <v>685</v>
      </c>
      <c r="B83" s="12" t="s">
        <v>2046</v>
      </c>
      <c r="C83" s="12" t="s">
        <v>2060</v>
      </c>
      <c r="D83" s="12"/>
      <c r="E83" s="12" t="s">
        <v>2013</v>
      </c>
      <c r="F83" s="12" t="s">
        <v>2161</v>
      </c>
      <c r="G83" s="12" t="s">
        <v>2036</v>
      </c>
      <c r="H83" s="12" t="s">
        <v>2162</v>
      </c>
    </row>
    <row r="84" spans="1:8" x14ac:dyDescent="0.35">
      <c r="A84" s="12" t="s">
        <v>1614</v>
      </c>
      <c r="B84" s="12" t="s">
        <v>2010</v>
      </c>
      <c r="C84" s="12" t="s">
        <v>2011</v>
      </c>
      <c r="D84" s="12" t="s">
        <v>2012</v>
      </c>
      <c r="E84" s="12" t="s">
        <v>2013</v>
      </c>
      <c r="F84" s="12" t="s">
        <v>2014</v>
      </c>
      <c r="G84" s="12" t="s">
        <v>388</v>
      </c>
      <c r="H84" s="12"/>
    </row>
    <row r="85" spans="1:8" x14ac:dyDescent="0.35">
      <c r="A85" s="12" t="s">
        <v>1614</v>
      </c>
      <c r="B85" s="12" t="s">
        <v>2163</v>
      </c>
      <c r="C85" s="12" t="s">
        <v>2011</v>
      </c>
      <c r="D85" s="12" t="s">
        <v>2164</v>
      </c>
      <c r="E85" s="12" t="s">
        <v>2025</v>
      </c>
      <c r="F85" s="12"/>
      <c r="G85" s="12" t="s">
        <v>2036</v>
      </c>
      <c r="H85" s="12" t="s">
        <v>2165</v>
      </c>
    </row>
    <row r="86" spans="1:8" x14ac:dyDescent="0.35">
      <c r="A86" s="12" t="s">
        <v>1614</v>
      </c>
      <c r="B86" s="12" t="s">
        <v>2166</v>
      </c>
      <c r="C86" s="12" t="s">
        <v>2085</v>
      </c>
      <c r="D86" s="12"/>
      <c r="E86" s="12" t="s">
        <v>2025</v>
      </c>
      <c r="F86" s="12"/>
      <c r="G86" s="12" t="s">
        <v>388</v>
      </c>
      <c r="H86" s="12" t="s">
        <v>2167</v>
      </c>
    </row>
    <row r="87" spans="1:8" x14ac:dyDescent="0.35">
      <c r="A87" s="12" t="s">
        <v>1614</v>
      </c>
      <c r="B87" s="12" t="s">
        <v>2168</v>
      </c>
      <c r="C87" s="12" t="s">
        <v>2071</v>
      </c>
      <c r="D87" s="12"/>
      <c r="E87" s="12" t="s">
        <v>2025</v>
      </c>
      <c r="F87" s="12"/>
      <c r="G87" s="12" t="s">
        <v>388</v>
      </c>
      <c r="H87" s="12" t="s">
        <v>2169</v>
      </c>
    </row>
    <row r="88" spans="1:8" x14ac:dyDescent="0.35">
      <c r="A88" s="12" t="s">
        <v>1614</v>
      </c>
      <c r="B88" s="12" t="s">
        <v>2084</v>
      </c>
      <c r="C88" s="12" t="s">
        <v>2085</v>
      </c>
      <c r="D88" s="12"/>
      <c r="E88" s="12" t="s">
        <v>2025</v>
      </c>
      <c r="F88" s="12"/>
      <c r="G88" s="12" t="s">
        <v>388</v>
      </c>
      <c r="H88" s="12"/>
    </row>
    <row r="89" spans="1:8" x14ac:dyDescent="0.35">
      <c r="A89" s="12" t="s">
        <v>1600</v>
      </c>
      <c r="B89" s="12" t="s">
        <v>2010</v>
      </c>
      <c r="C89" s="12" t="s">
        <v>2011</v>
      </c>
      <c r="D89" s="12" t="s">
        <v>2012</v>
      </c>
      <c r="E89" s="12" t="s">
        <v>2013</v>
      </c>
      <c r="F89" s="12" t="s">
        <v>2014</v>
      </c>
      <c r="G89" s="12" t="s">
        <v>388</v>
      </c>
      <c r="H89" s="12" t="s">
        <v>2170</v>
      </c>
    </row>
    <row r="90" spans="1:8" x14ac:dyDescent="0.35">
      <c r="A90" s="12" t="s">
        <v>1600</v>
      </c>
      <c r="B90" s="12" t="s">
        <v>2171</v>
      </c>
      <c r="C90" s="12" t="s">
        <v>2038</v>
      </c>
      <c r="D90" s="12"/>
      <c r="E90" s="12" t="s">
        <v>2013</v>
      </c>
      <c r="F90" s="12"/>
      <c r="G90" s="12" t="s">
        <v>2036</v>
      </c>
      <c r="H90" s="12" t="s">
        <v>2172</v>
      </c>
    </row>
    <row r="91" spans="1:8" x14ac:dyDescent="0.35">
      <c r="A91" s="12" t="s">
        <v>1600</v>
      </c>
      <c r="B91" s="12" t="s">
        <v>2173</v>
      </c>
      <c r="C91" s="12" t="s">
        <v>2071</v>
      </c>
      <c r="D91" s="12"/>
      <c r="E91" s="12" t="s">
        <v>2013</v>
      </c>
      <c r="F91" s="12"/>
      <c r="G91" s="12" t="s">
        <v>388</v>
      </c>
      <c r="H91" s="12" t="s">
        <v>2174</v>
      </c>
    </row>
    <row r="92" spans="1:8" x14ac:dyDescent="0.35">
      <c r="A92" s="12" t="s">
        <v>1600</v>
      </c>
      <c r="B92" s="12" t="s">
        <v>2175</v>
      </c>
      <c r="C92" s="12" t="s">
        <v>2071</v>
      </c>
      <c r="D92" s="12"/>
      <c r="E92" s="12" t="s">
        <v>2013</v>
      </c>
      <c r="F92" s="12"/>
      <c r="G92" s="12" t="s">
        <v>388</v>
      </c>
      <c r="H92" s="12" t="s">
        <v>2176</v>
      </c>
    </row>
    <row r="93" spans="1:8" x14ac:dyDescent="0.35">
      <c r="A93" s="12" t="s">
        <v>1600</v>
      </c>
      <c r="B93" s="12" t="s">
        <v>2177</v>
      </c>
      <c r="C93" s="12" t="s">
        <v>2178</v>
      </c>
      <c r="D93" s="12"/>
      <c r="E93" s="12" t="s">
        <v>2025</v>
      </c>
      <c r="F93" s="12"/>
      <c r="G93" s="12" t="s">
        <v>388</v>
      </c>
      <c r="H93" s="12" t="s">
        <v>2179</v>
      </c>
    </row>
    <row r="94" spans="1:8" x14ac:dyDescent="0.35">
      <c r="A94" s="12" t="s">
        <v>2180</v>
      </c>
      <c r="B94" s="12" t="s">
        <v>2181</v>
      </c>
      <c r="C94" s="12" t="s">
        <v>2182</v>
      </c>
      <c r="D94" s="12" t="s">
        <v>2012</v>
      </c>
      <c r="E94" s="12" t="s">
        <v>2013</v>
      </c>
      <c r="F94" s="12"/>
      <c r="G94" s="12" t="s">
        <v>388</v>
      </c>
      <c r="H94" s="12" t="s">
        <v>2183</v>
      </c>
    </row>
    <row r="95" spans="1:8" x14ac:dyDescent="0.35">
      <c r="A95" s="12" t="s">
        <v>2180</v>
      </c>
      <c r="B95" s="12" t="s">
        <v>2184</v>
      </c>
      <c r="C95" s="12" t="s">
        <v>2011</v>
      </c>
      <c r="D95" s="12"/>
      <c r="E95" s="12" t="s">
        <v>2025</v>
      </c>
      <c r="F95" s="12"/>
      <c r="G95" s="12" t="s">
        <v>2036</v>
      </c>
      <c r="H95" s="12" t="s">
        <v>2185</v>
      </c>
    </row>
    <row r="96" spans="1:8" x14ac:dyDescent="0.35">
      <c r="A96" s="12" t="s">
        <v>2180</v>
      </c>
      <c r="B96" s="12" t="s">
        <v>2186</v>
      </c>
      <c r="C96" s="12" t="s">
        <v>2187</v>
      </c>
      <c r="D96" s="12"/>
      <c r="E96" s="12" t="s">
        <v>2013</v>
      </c>
      <c r="F96" s="12"/>
      <c r="G96" s="12" t="s">
        <v>2036</v>
      </c>
      <c r="H96" s="12" t="s">
        <v>2188</v>
      </c>
    </row>
    <row r="97" spans="1:8" x14ac:dyDescent="0.35">
      <c r="A97" s="12" t="s">
        <v>2180</v>
      </c>
      <c r="B97" s="12" t="s">
        <v>2145</v>
      </c>
      <c r="C97" s="12" t="s">
        <v>2071</v>
      </c>
      <c r="D97" s="12"/>
      <c r="E97" s="12" t="s">
        <v>2013</v>
      </c>
      <c r="F97" s="12"/>
      <c r="G97" s="12" t="s">
        <v>388</v>
      </c>
      <c r="H97" s="12" t="s">
        <v>2189</v>
      </c>
    </row>
    <row r="98" spans="1:8" x14ac:dyDescent="0.35">
      <c r="A98" s="12" t="s">
        <v>2180</v>
      </c>
      <c r="B98" s="12" t="s">
        <v>2190</v>
      </c>
      <c r="C98" s="12" t="s">
        <v>2191</v>
      </c>
      <c r="D98" s="12"/>
      <c r="E98" s="12" t="s">
        <v>2013</v>
      </c>
      <c r="F98" s="12"/>
      <c r="G98" s="12" t="s">
        <v>388</v>
      </c>
      <c r="H98" s="12" t="s">
        <v>2192</v>
      </c>
    </row>
    <row r="99" spans="1:8" x14ac:dyDescent="0.35">
      <c r="A99" s="12" t="s">
        <v>2180</v>
      </c>
      <c r="B99" s="12" t="s">
        <v>2031</v>
      </c>
      <c r="C99" s="12" t="s">
        <v>2032</v>
      </c>
      <c r="D99" s="12"/>
      <c r="E99" s="12" t="s">
        <v>2013</v>
      </c>
      <c r="F99" s="12" t="s">
        <v>2033</v>
      </c>
      <c r="G99" s="12" t="s">
        <v>2036</v>
      </c>
      <c r="H99" s="12"/>
    </row>
    <row r="101" spans="1:8" ht="39" customHeight="1" x14ac:dyDescent="0.35">
      <c r="A101" s="1" t="s">
        <v>2193</v>
      </c>
      <c r="B101" s="1"/>
      <c r="C101" s="1"/>
      <c r="D101" s="1"/>
      <c r="E101" s="1"/>
      <c r="F101" s="1"/>
      <c r="G101" s="1"/>
      <c r="H101" s="1"/>
    </row>
  </sheetData>
  <autoFilter ref="A1:H99" xr:uid="{00000000-0009-0000-0000-00001A000000}"/>
  <mergeCells count="1">
    <mergeCell ref="A101:H101"/>
  </mergeCells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695C"/>
  </sheetPr>
  <dimension ref="A1:I18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8" customWidth="1"/>
    <col min="2" max="2" width="44" customWidth="1"/>
    <col min="3" max="3" width="18" customWidth="1"/>
    <col min="4" max="4" width="32" customWidth="1"/>
    <col min="5" max="5" width="34" customWidth="1"/>
    <col min="6" max="7" width="40" customWidth="1"/>
    <col min="8" max="8" width="14" customWidth="1"/>
    <col min="9" max="9" width="30" customWidth="1"/>
  </cols>
  <sheetData>
    <row r="1" spans="1:9" ht="27.75" customHeight="1" x14ac:dyDescent="0.35">
      <c r="A1" s="11" t="s">
        <v>2004</v>
      </c>
      <c r="B1" s="11" t="s">
        <v>1008</v>
      </c>
      <c r="C1" s="11" t="s">
        <v>2194</v>
      </c>
      <c r="D1" s="11" t="s">
        <v>2195</v>
      </c>
      <c r="E1" s="11" t="s">
        <v>2196</v>
      </c>
      <c r="F1" s="11" t="s">
        <v>2197</v>
      </c>
      <c r="G1" s="11" t="s">
        <v>1182</v>
      </c>
      <c r="H1" s="11" t="s">
        <v>2198</v>
      </c>
      <c r="I1" s="11" t="s">
        <v>2199</v>
      </c>
    </row>
    <row r="2" spans="1:9" ht="25" x14ac:dyDescent="0.35">
      <c r="A2" s="12" t="s">
        <v>1514</v>
      </c>
      <c r="B2" s="12" t="s">
        <v>2200</v>
      </c>
      <c r="C2" s="12" t="s">
        <v>2201</v>
      </c>
      <c r="D2" s="12" t="s">
        <v>388</v>
      </c>
      <c r="E2" s="12" t="s">
        <v>2202</v>
      </c>
      <c r="F2" s="12" t="s">
        <v>2203</v>
      </c>
      <c r="G2" s="12" t="s">
        <v>2204</v>
      </c>
      <c r="H2" s="12" t="s">
        <v>2205</v>
      </c>
      <c r="I2" s="12" t="s">
        <v>2206</v>
      </c>
    </row>
    <row r="3" spans="1:9" ht="25" x14ac:dyDescent="0.35">
      <c r="A3" s="12" t="s">
        <v>1522</v>
      </c>
      <c r="B3" s="12" t="s">
        <v>2207</v>
      </c>
      <c r="C3" s="12" t="s">
        <v>2010</v>
      </c>
      <c r="D3" s="12" t="s">
        <v>2208</v>
      </c>
      <c r="E3" s="12" t="s">
        <v>2209</v>
      </c>
      <c r="F3" s="12" t="s">
        <v>2210</v>
      </c>
      <c r="G3" s="12" t="s">
        <v>2211</v>
      </c>
      <c r="H3" s="12" t="s">
        <v>2212</v>
      </c>
      <c r="I3" s="12" t="s">
        <v>2213</v>
      </c>
    </row>
    <row r="4" spans="1:9" ht="25" x14ac:dyDescent="0.35">
      <c r="A4" s="12" t="s">
        <v>2049</v>
      </c>
      <c r="B4" s="12" t="s">
        <v>2214</v>
      </c>
      <c r="C4" s="12" t="s">
        <v>2215</v>
      </c>
      <c r="D4" s="12" t="s">
        <v>388</v>
      </c>
      <c r="E4" s="12" t="s">
        <v>2216</v>
      </c>
      <c r="F4" s="12" t="s">
        <v>2217</v>
      </c>
      <c r="G4" s="12" t="s">
        <v>2218</v>
      </c>
      <c r="H4" s="12" t="s">
        <v>2219</v>
      </c>
      <c r="I4" s="12" t="s">
        <v>2220</v>
      </c>
    </row>
    <row r="5" spans="1:9" ht="25" x14ac:dyDescent="0.35">
      <c r="A5" s="12" t="s">
        <v>2221</v>
      </c>
      <c r="B5" s="12" t="s">
        <v>2222</v>
      </c>
      <c r="C5" s="12" t="s">
        <v>2223</v>
      </c>
      <c r="D5" s="12" t="s">
        <v>2224</v>
      </c>
      <c r="E5" s="12" t="s">
        <v>2225</v>
      </c>
      <c r="F5" s="12" t="s">
        <v>2226</v>
      </c>
      <c r="G5" s="12" t="s">
        <v>2227</v>
      </c>
      <c r="H5" s="12" t="s">
        <v>2228</v>
      </c>
      <c r="I5" s="12" t="s">
        <v>2229</v>
      </c>
    </row>
    <row r="6" spans="1:9" ht="37.5" x14ac:dyDescent="0.35">
      <c r="A6" s="12" t="s">
        <v>1558</v>
      </c>
      <c r="B6" s="12" t="s">
        <v>2230</v>
      </c>
      <c r="C6" s="12" t="s">
        <v>2201</v>
      </c>
      <c r="D6" s="12" t="s">
        <v>2231</v>
      </c>
      <c r="E6" s="12" t="s">
        <v>2232</v>
      </c>
      <c r="F6" s="12" t="s">
        <v>2233</v>
      </c>
      <c r="G6" s="12" t="s">
        <v>2234</v>
      </c>
      <c r="H6" s="12" t="s">
        <v>2235</v>
      </c>
      <c r="I6" s="12" t="s">
        <v>2236</v>
      </c>
    </row>
    <row r="7" spans="1:9" ht="25" x14ac:dyDescent="0.35">
      <c r="A7" s="12" t="s">
        <v>2112</v>
      </c>
      <c r="B7" s="12" t="s">
        <v>2237</v>
      </c>
      <c r="C7" s="12" t="s">
        <v>2010</v>
      </c>
      <c r="D7" s="12" t="s">
        <v>2238</v>
      </c>
      <c r="E7" s="12" t="s">
        <v>2239</v>
      </c>
      <c r="F7" s="12" t="s">
        <v>2240</v>
      </c>
      <c r="G7" s="12" t="s">
        <v>2241</v>
      </c>
      <c r="H7" s="12" t="s">
        <v>2242</v>
      </c>
      <c r="I7" s="12" t="s">
        <v>2243</v>
      </c>
    </row>
    <row r="8" spans="1:9" ht="25" x14ac:dyDescent="0.35">
      <c r="A8" s="12" t="s">
        <v>1565</v>
      </c>
      <c r="B8" s="12" t="s">
        <v>2244</v>
      </c>
      <c r="C8" s="12" t="s">
        <v>2010</v>
      </c>
      <c r="D8" s="12" t="s">
        <v>2245</v>
      </c>
      <c r="E8" s="12" t="s">
        <v>2246</v>
      </c>
      <c r="F8" s="12" t="s">
        <v>2247</v>
      </c>
      <c r="G8" s="12" t="s">
        <v>2248</v>
      </c>
      <c r="H8" s="12" t="s">
        <v>2249</v>
      </c>
      <c r="I8" s="12" t="s">
        <v>2250</v>
      </c>
    </row>
    <row r="9" spans="1:9" x14ac:dyDescent="0.35">
      <c r="A9" s="12" t="s">
        <v>2251</v>
      </c>
      <c r="B9" s="12" t="s">
        <v>2252</v>
      </c>
      <c r="C9" s="12" t="s">
        <v>2253</v>
      </c>
      <c r="D9" s="12" t="s">
        <v>2254</v>
      </c>
      <c r="E9" s="12" t="s">
        <v>2255</v>
      </c>
      <c r="F9" s="12" t="s">
        <v>2256</v>
      </c>
      <c r="G9" s="12" t="s">
        <v>2257</v>
      </c>
      <c r="H9" s="12" t="s">
        <v>2258</v>
      </c>
      <c r="I9" s="12" t="s">
        <v>2229</v>
      </c>
    </row>
    <row r="10" spans="1:9" ht="25" x14ac:dyDescent="0.35">
      <c r="A10" s="12" t="s">
        <v>2259</v>
      </c>
      <c r="B10" s="12" t="s">
        <v>2260</v>
      </c>
      <c r="C10" s="12" t="s">
        <v>2261</v>
      </c>
      <c r="D10" s="12" t="s">
        <v>2262</v>
      </c>
      <c r="E10" s="12" t="s">
        <v>2263</v>
      </c>
      <c r="F10" s="12" t="s">
        <v>2264</v>
      </c>
      <c r="G10" s="12" t="s">
        <v>2265</v>
      </c>
      <c r="H10" s="12" t="s">
        <v>2266</v>
      </c>
      <c r="I10" s="12" t="s">
        <v>2267</v>
      </c>
    </row>
    <row r="11" spans="1:9" ht="25" x14ac:dyDescent="0.35">
      <c r="A11" s="12" t="s">
        <v>2148</v>
      </c>
      <c r="B11" s="12" t="s">
        <v>2268</v>
      </c>
      <c r="C11" s="12" t="s">
        <v>2010</v>
      </c>
      <c r="D11" s="12" t="s">
        <v>2269</v>
      </c>
      <c r="E11" s="12" t="s">
        <v>2270</v>
      </c>
      <c r="F11" s="12" t="s">
        <v>2271</v>
      </c>
      <c r="G11" s="12" t="s">
        <v>2272</v>
      </c>
      <c r="H11" s="12" t="s">
        <v>2273</v>
      </c>
      <c r="I11" s="12" t="s">
        <v>2213</v>
      </c>
    </row>
    <row r="12" spans="1:9" x14ac:dyDescent="0.35">
      <c r="A12" s="12" t="s">
        <v>685</v>
      </c>
      <c r="B12" s="12" t="s">
        <v>2274</v>
      </c>
      <c r="C12" s="12" t="s">
        <v>2010</v>
      </c>
      <c r="D12" s="12" t="s">
        <v>2208</v>
      </c>
      <c r="E12" s="12" t="s">
        <v>2275</v>
      </c>
      <c r="F12" s="12" t="s">
        <v>2276</v>
      </c>
      <c r="G12" s="12" t="s">
        <v>2277</v>
      </c>
      <c r="H12" s="12" t="s">
        <v>2278</v>
      </c>
      <c r="I12" s="12" t="s">
        <v>2229</v>
      </c>
    </row>
    <row r="13" spans="1:9" ht="25" x14ac:dyDescent="0.35">
      <c r="A13" s="12" t="s">
        <v>1614</v>
      </c>
      <c r="B13" s="12" t="s">
        <v>2279</v>
      </c>
      <c r="C13" s="12" t="s">
        <v>2010</v>
      </c>
      <c r="D13" s="12" t="s">
        <v>2280</v>
      </c>
      <c r="E13" s="12" t="s">
        <v>2281</v>
      </c>
      <c r="F13" s="12" t="s">
        <v>388</v>
      </c>
      <c r="G13" s="12" t="s">
        <v>2282</v>
      </c>
      <c r="H13" s="12" t="s">
        <v>2283</v>
      </c>
      <c r="I13" s="12" t="s">
        <v>2284</v>
      </c>
    </row>
    <row r="14" spans="1:9" x14ac:dyDescent="0.35">
      <c r="A14" s="12" t="s">
        <v>1600</v>
      </c>
      <c r="B14" s="12" t="s">
        <v>2285</v>
      </c>
      <c r="C14" s="12" t="s">
        <v>2010</v>
      </c>
      <c r="D14" s="12" t="s">
        <v>2286</v>
      </c>
      <c r="E14" s="12" t="s">
        <v>2287</v>
      </c>
      <c r="F14" s="12" t="s">
        <v>2288</v>
      </c>
      <c r="G14" s="12" t="s">
        <v>2289</v>
      </c>
      <c r="H14" s="12" t="s">
        <v>2290</v>
      </c>
      <c r="I14" s="12" t="s">
        <v>2291</v>
      </c>
    </row>
    <row r="15" spans="1:9" ht="25" x14ac:dyDescent="0.35">
      <c r="A15" s="12" t="s">
        <v>2180</v>
      </c>
      <c r="B15" s="12" t="s">
        <v>2292</v>
      </c>
      <c r="C15" s="12" t="s">
        <v>2293</v>
      </c>
      <c r="D15" s="12" t="s">
        <v>388</v>
      </c>
      <c r="E15" s="12" t="s">
        <v>2294</v>
      </c>
      <c r="F15" s="12" t="s">
        <v>2295</v>
      </c>
      <c r="G15" s="12" t="s">
        <v>2296</v>
      </c>
      <c r="H15" s="12" t="s">
        <v>2297</v>
      </c>
      <c r="I15" s="12" t="s">
        <v>2298</v>
      </c>
    </row>
    <row r="16" spans="1:9" ht="25" x14ac:dyDescent="0.35">
      <c r="A16" s="12" t="s">
        <v>2299</v>
      </c>
      <c r="B16" s="12" t="s">
        <v>2300</v>
      </c>
      <c r="C16" s="12" t="s">
        <v>2301</v>
      </c>
      <c r="D16" s="12" t="s">
        <v>388</v>
      </c>
      <c r="E16" s="12" t="s">
        <v>2302</v>
      </c>
      <c r="F16" s="12" t="s">
        <v>2303</v>
      </c>
      <c r="G16" s="12" t="s">
        <v>2304</v>
      </c>
      <c r="H16" s="12" t="s">
        <v>2305</v>
      </c>
      <c r="I16" s="12" t="s">
        <v>2306</v>
      </c>
    </row>
    <row r="18" spans="1:9" ht="27.75" customHeight="1" x14ac:dyDescent="0.35">
      <c r="A18" s="1" t="s">
        <v>2307</v>
      </c>
      <c r="B18" s="1"/>
      <c r="C18" s="1"/>
      <c r="D18" s="1"/>
      <c r="E18" s="1"/>
      <c r="F18" s="1"/>
      <c r="G18" s="1"/>
      <c r="H18" s="1"/>
      <c r="I18" s="1"/>
    </row>
  </sheetData>
  <autoFilter ref="A1:I16" xr:uid="{00000000-0009-0000-0000-00001B000000}"/>
  <mergeCells count="1">
    <mergeCell ref="A18:I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695C"/>
  </sheetPr>
  <dimension ref="A1:K27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16" customWidth="1"/>
    <col min="3" max="3" width="9" customWidth="1"/>
    <col min="4" max="4" width="40" customWidth="1"/>
    <col min="5" max="5" width="12" customWidth="1"/>
    <col min="6" max="7" width="46" customWidth="1"/>
    <col min="8" max="8" width="14" customWidth="1"/>
    <col min="9" max="9" width="12" customWidth="1"/>
    <col min="10" max="10" width="30" customWidth="1"/>
    <col min="11" max="11" width="40" customWidth="1"/>
  </cols>
  <sheetData>
    <row r="1" spans="1:11" ht="27.75" customHeight="1" x14ac:dyDescent="0.35">
      <c r="A1" s="11" t="s">
        <v>2308</v>
      </c>
      <c r="B1" s="11" t="s">
        <v>2309</v>
      </c>
      <c r="C1" s="11" t="s">
        <v>2310</v>
      </c>
      <c r="D1" s="11" t="s">
        <v>2311</v>
      </c>
      <c r="E1" s="11" t="s">
        <v>257</v>
      </c>
      <c r="F1" s="11" t="s">
        <v>2312</v>
      </c>
      <c r="G1" s="11" t="s">
        <v>2313</v>
      </c>
      <c r="H1" s="11" t="s">
        <v>2314</v>
      </c>
      <c r="I1" s="11" t="s">
        <v>254</v>
      </c>
      <c r="J1" s="11" t="s">
        <v>2315</v>
      </c>
      <c r="K1" s="11" t="s">
        <v>2316</v>
      </c>
    </row>
    <row r="2" spans="1:11" x14ac:dyDescent="0.35">
      <c r="A2" s="12" t="s">
        <v>2317</v>
      </c>
      <c r="B2" s="12" t="s">
        <v>462</v>
      </c>
      <c r="C2" s="12" t="s">
        <v>2318</v>
      </c>
      <c r="D2" s="12" t="s">
        <v>2319</v>
      </c>
      <c r="E2" s="12" t="s">
        <v>2320</v>
      </c>
      <c r="F2" s="12" t="s">
        <v>2321</v>
      </c>
      <c r="G2" s="12" t="s">
        <v>2322</v>
      </c>
      <c r="H2" s="12" t="s">
        <v>2323</v>
      </c>
      <c r="I2" s="12" t="s">
        <v>262</v>
      </c>
      <c r="J2" s="12" t="s">
        <v>2324</v>
      </c>
      <c r="K2" s="12" t="s">
        <v>2325</v>
      </c>
    </row>
    <row r="3" spans="1:11" x14ac:dyDescent="0.35">
      <c r="A3" s="12" t="s">
        <v>2326</v>
      </c>
      <c r="B3" s="12" t="s">
        <v>462</v>
      </c>
      <c r="C3" s="12" t="s">
        <v>2318</v>
      </c>
      <c r="D3" s="12" t="s">
        <v>2327</v>
      </c>
      <c r="E3" s="12" t="s">
        <v>2328</v>
      </c>
      <c r="F3" s="12" t="s">
        <v>2329</v>
      </c>
      <c r="G3" s="12" t="s">
        <v>2330</v>
      </c>
      <c r="H3" s="12" t="s">
        <v>2331</v>
      </c>
      <c r="I3" s="12" t="s">
        <v>262</v>
      </c>
      <c r="J3" s="12" t="s">
        <v>2332</v>
      </c>
      <c r="K3" s="12" t="s">
        <v>2333</v>
      </c>
    </row>
    <row r="4" spans="1:11" ht="25" x14ac:dyDescent="0.35">
      <c r="A4" s="12" t="s">
        <v>2334</v>
      </c>
      <c r="B4" s="12" t="s">
        <v>2335</v>
      </c>
      <c r="C4" s="12" t="s">
        <v>2336</v>
      </c>
      <c r="D4" s="12" t="s">
        <v>2337</v>
      </c>
      <c r="E4" s="12" t="s">
        <v>2338</v>
      </c>
      <c r="F4" s="12" t="s">
        <v>388</v>
      </c>
      <c r="G4" s="12" t="s">
        <v>2339</v>
      </c>
      <c r="H4" s="12" t="s">
        <v>2331</v>
      </c>
      <c r="I4" s="12" t="s">
        <v>262</v>
      </c>
      <c r="J4" s="12" t="s">
        <v>2340</v>
      </c>
      <c r="K4" s="12" t="s">
        <v>2341</v>
      </c>
    </row>
    <row r="5" spans="1:11" x14ac:dyDescent="0.35">
      <c r="A5" s="12" t="s">
        <v>2342</v>
      </c>
      <c r="B5" s="12" t="s">
        <v>2335</v>
      </c>
      <c r="C5" s="12" t="s">
        <v>2318</v>
      </c>
      <c r="D5" s="12" t="s">
        <v>2343</v>
      </c>
      <c r="E5" s="12" t="s">
        <v>2338</v>
      </c>
      <c r="F5" s="12" t="s">
        <v>2344</v>
      </c>
      <c r="G5" s="12" t="s">
        <v>2345</v>
      </c>
      <c r="H5" s="12" t="s">
        <v>2346</v>
      </c>
      <c r="I5" s="12" t="s">
        <v>262</v>
      </c>
      <c r="J5" s="12" t="s">
        <v>2347</v>
      </c>
      <c r="K5" s="12" t="s">
        <v>2348</v>
      </c>
    </row>
    <row r="6" spans="1:11" ht="25" x14ac:dyDescent="0.35">
      <c r="A6" s="12" t="s">
        <v>2349</v>
      </c>
      <c r="B6" s="12" t="s">
        <v>1203</v>
      </c>
      <c r="C6" s="12" t="s">
        <v>2336</v>
      </c>
      <c r="D6" s="12" t="s">
        <v>2350</v>
      </c>
      <c r="E6" s="12" t="s">
        <v>2338</v>
      </c>
      <c r="F6" s="12" t="s">
        <v>2351</v>
      </c>
      <c r="G6" s="12" t="s">
        <v>2352</v>
      </c>
      <c r="H6" s="12" t="s">
        <v>2353</v>
      </c>
      <c r="I6" s="12" t="s">
        <v>262</v>
      </c>
      <c r="J6" s="12" t="s">
        <v>2340</v>
      </c>
      <c r="K6" s="12" t="s">
        <v>2341</v>
      </c>
    </row>
    <row r="7" spans="1:11" ht="25" x14ac:dyDescent="0.35">
      <c r="A7" s="12" t="s">
        <v>2354</v>
      </c>
      <c r="B7" s="12" t="s">
        <v>1203</v>
      </c>
      <c r="C7" s="12" t="s">
        <v>2336</v>
      </c>
      <c r="D7" s="12" t="s">
        <v>2355</v>
      </c>
      <c r="E7" s="12" t="s">
        <v>2338</v>
      </c>
      <c r="F7" s="12" t="s">
        <v>2356</v>
      </c>
      <c r="G7" s="12" t="s">
        <v>2357</v>
      </c>
      <c r="H7" s="12" t="s">
        <v>2331</v>
      </c>
      <c r="I7" s="12" t="s">
        <v>262</v>
      </c>
      <c r="J7" s="12" t="s">
        <v>2340</v>
      </c>
      <c r="K7" s="12" t="s">
        <v>2341</v>
      </c>
    </row>
    <row r="8" spans="1:11" x14ac:dyDescent="0.35">
      <c r="A8" s="12" t="s">
        <v>2358</v>
      </c>
      <c r="B8" s="12" t="s">
        <v>1203</v>
      </c>
      <c r="C8" s="12" t="s">
        <v>2359</v>
      </c>
      <c r="D8" s="12" t="s">
        <v>2360</v>
      </c>
      <c r="E8" s="12" t="s">
        <v>2338</v>
      </c>
      <c r="F8" s="12" t="s">
        <v>2361</v>
      </c>
      <c r="G8" s="12" t="s">
        <v>2362</v>
      </c>
      <c r="H8" s="12" t="s">
        <v>2363</v>
      </c>
      <c r="I8" s="12" t="s">
        <v>262</v>
      </c>
      <c r="J8" s="12" t="s">
        <v>2364</v>
      </c>
      <c r="K8" s="12" t="s">
        <v>2365</v>
      </c>
    </row>
    <row r="9" spans="1:11" ht="25" x14ac:dyDescent="0.35">
      <c r="A9" s="12" t="s">
        <v>2366</v>
      </c>
      <c r="B9" s="12" t="s">
        <v>1218</v>
      </c>
      <c r="C9" s="12" t="s">
        <v>2318</v>
      </c>
      <c r="D9" s="12" t="s">
        <v>2367</v>
      </c>
      <c r="E9" s="12" t="s">
        <v>2338</v>
      </c>
      <c r="F9" s="12" t="s">
        <v>2368</v>
      </c>
      <c r="G9" s="12" t="s">
        <v>2369</v>
      </c>
      <c r="H9" s="12" t="s">
        <v>2331</v>
      </c>
      <c r="I9" s="12" t="s">
        <v>262</v>
      </c>
      <c r="J9" s="12" t="s">
        <v>2370</v>
      </c>
      <c r="K9" s="12" t="s">
        <v>2371</v>
      </c>
    </row>
    <row r="10" spans="1:11" x14ac:dyDescent="0.35">
      <c r="A10" s="12" t="s">
        <v>2372</v>
      </c>
      <c r="B10" s="12" t="s">
        <v>1218</v>
      </c>
      <c r="C10" s="12" t="s">
        <v>2373</v>
      </c>
      <c r="D10" s="12" t="s">
        <v>2374</v>
      </c>
      <c r="E10" s="12" t="s">
        <v>2338</v>
      </c>
      <c r="F10" s="12" t="s">
        <v>2375</v>
      </c>
      <c r="G10" s="12" t="s">
        <v>2376</v>
      </c>
      <c r="H10" s="12" t="s">
        <v>2331</v>
      </c>
      <c r="I10" s="12" t="s">
        <v>262</v>
      </c>
      <c r="J10" s="12" t="s">
        <v>2377</v>
      </c>
      <c r="K10" s="12" t="s">
        <v>2378</v>
      </c>
    </row>
    <row r="11" spans="1:11" x14ac:dyDescent="0.35">
      <c r="A11" s="12" t="s">
        <v>2379</v>
      </c>
      <c r="B11" s="12" t="s">
        <v>1218</v>
      </c>
      <c r="C11" s="12" t="s">
        <v>2380</v>
      </c>
      <c r="D11" s="12" t="s">
        <v>2374</v>
      </c>
      <c r="E11" s="12" t="s">
        <v>2338</v>
      </c>
      <c r="F11" s="12" t="s">
        <v>388</v>
      </c>
      <c r="G11" s="12" t="s">
        <v>2381</v>
      </c>
      <c r="H11" s="12" t="s">
        <v>2331</v>
      </c>
      <c r="I11" s="12" t="s">
        <v>262</v>
      </c>
      <c r="J11" s="12" t="s">
        <v>2382</v>
      </c>
      <c r="K11" s="12" t="s">
        <v>2383</v>
      </c>
    </row>
    <row r="12" spans="1:11" x14ac:dyDescent="0.35">
      <c r="A12" s="12" t="s">
        <v>2384</v>
      </c>
      <c r="B12" s="12" t="s">
        <v>1218</v>
      </c>
      <c r="C12" s="12" t="s">
        <v>2318</v>
      </c>
      <c r="D12" s="12" t="s">
        <v>2385</v>
      </c>
      <c r="E12" s="12" t="s">
        <v>2386</v>
      </c>
      <c r="F12" s="12" t="s">
        <v>2387</v>
      </c>
      <c r="G12" s="12" t="s">
        <v>2388</v>
      </c>
      <c r="H12" s="12" t="s">
        <v>2389</v>
      </c>
      <c r="I12" s="12" t="s">
        <v>262</v>
      </c>
      <c r="J12" s="12" t="s">
        <v>2390</v>
      </c>
      <c r="K12" s="12" t="s">
        <v>2391</v>
      </c>
    </row>
    <row r="13" spans="1:11" ht="25" x14ac:dyDescent="0.35">
      <c r="A13" s="12" t="s">
        <v>2392</v>
      </c>
      <c r="B13" s="12" t="s">
        <v>290</v>
      </c>
      <c r="C13" s="12" t="s">
        <v>2336</v>
      </c>
      <c r="D13" s="12" t="s">
        <v>2393</v>
      </c>
      <c r="E13" s="12" t="s">
        <v>2338</v>
      </c>
      <c r="F13" s="12" t="s">
        <v>388</v>
      </c>
      <c r="G13" s="12" t="s">
        <v>2394</v>
      </c>
      <c r="H13" s="12" t="s">
        <v>2353</v>
      </c>
      <c r="I13" s="12" t="s">
        <v>262</v>
      </c>
      <c r="J13" s="12" t="s">
        <v>2340</v>
      </c>
      <c r="K13" s="12" t="s">
        <v>2341</v>
      </c>
    </row>
    <row r="14" spans="1:11" ht="25" x14ac:dyDescent="0.35">
      <c r="A14" s="12" t="s">
        <v>2395</v>
      </c>
      <c r="B14" s="12" t="s">
        <v>290</v>
      </c>
      <c r="C14" s="12" t="s">
        <v>2336</v>
      </c>
      <c r="D14" s="12" t="s">
        <v>2396</v>
      </c>
      <c r="E14" s="12" t="s">
        <v>2338</v>
      </c>
      <c r="F14" s="12" t="s">
        <v>388</v>
      </c>
      <c r="G14" s="12" t="s">
        <v>2397</v>
      </c>
      <c r="H14" s="12" t="s">
        <v>2331</v>
      </c>
      <c r="I14" s="12" t="s">
        <v>262</v>
      </c>
      <c r="J14" s="12" t="s">
        <v>2340</v>
      </c>
      <c r="K14" s="12" t="s">
        <v>2341</v>
      </c>
    </row>
    <row r="15" spans="1:11" ht="25" x14ac:dyDescent="0.35">
      <c r="A15" s="12" t="s">
        <v>2398</v>
      </c>
      <c r="B15" s="12" t="s">
        <v>294</v>
      </c>
      <c r="C15" s="12" t="s">
        <v>2336</v>
      </c>
      <c r="D15" s="12" t="s">
        <v>2399</v>
      </c>
      <c r="E15" s="12" t="s">
        <v>2338</v>
      </c>
      <c r="F15" s="12" t="s">
        <v>388</v>
      </c>
      <c r="G15" s="12" t="s">
        <v>2400</v>
      </c>
      <c r="H15" s="12" t="s">
        <v>2353</v>
      </c>
      <c r="I15" s="12" t="s">
        <v>262</v>
      </c>
      <c r="J15" s="12" t="s">
        <v>2340</v>
      </c>
      <c r="K15" s="12" t="s">
        <v>2341</v>
      </c>
    </row>
    <row r="16" spans="1:11" ht="25" x14ac:dyDescent="0.35">
      <c r="A16" s="12" t="s">
        <v>2401</v>
      </c>
      <c r="B16" s="12" t="s">
        <v>294</v>
      </c>
      <c r="C16" s="12" t="s">
        <v>2402</v>
      </c>
      <c r="D16" s="12" t="s">
        <v>2403</v>
      </c>
      <c r="E16" s="12" t="s">
        <v>2404</v>
      </c>
      <c r="F16" s="12" t="s">
        <v>2405</v>
      </c>
      <c r="G16" s="12" t="s">
        <v>2406</v>
      </c>
      <c r="H16" s="12" t="s">
        <v>2407</v>
      </c>
      <c r="I16" s="12" t="s">
        <v>262</v>
      </c>
      <c r="J16" s="12" t="s">
        <v>2340</v>
      </c>
      <c r="K16" s="12" t="s">
        <v>2341</v>
      </c>
    </row>
    <row r="17" spans="1:11" ht="25" x14ac:dyDescent="0.35">
      <c r="A17" s="12" t="s">
        <v>2408</v>
      </c>
      <c r="B17" s="12" t="s">
        <v>301</v>
      </c>
      <c r="C17" s="12" t="s">
        <v>2318</v>
      </c>
      <c r="D17" s="12" t="s">
        <v>2409</v>
      </c>
      <c r="E17" s="12" t="s">
        <v>2338</v>
      </c>
      <c r="F17" s="12" t="s">
        <v>2410</v>
      </c>
      <c r="G17" s="12" t="s">
        <v>2411</v>
      </c>
      <c r="H17" s="12" t="s">
        <v>2412</v>
      </c>
      <c r="I17" s="12" t="s">
        <v>262</v>
      </c>
      <c r="J17" s="12" t="s">
        <v>2340</v>
      </c>
      <c r="K17" s="12" t="s">
        <v>2341</v>
      </c>
    </row>
    <row r="18" spans="1:11" x14ac:dyDescent="0.35">
      <c r="A18" s="12" t="s">
        <v>2413</v>
      </c>
      <c r="B18" s="12" t="s">
        <v>301</v>
      </c>
      <c r="C18" s="12" t="s">
        <v>2318</v>
      </c>
      <c r="D18" s="12" t="s">
        <v>2414</v>
      </c>
      <c r="E18" s="12" t="s">
        <v>2338</v>
      </c>
      <c r="F18" s="12" t="s">
        <v>2415</v>
      </c>
      <c r="G18" s="12" t="s">
        <v>2416</v>
      </c>
      <c r="H18" s="12" t="s">
        <v>2417</v>
      </c>
      <c r="I18" s="12" t="s">
        <v>262</v>
      </c>
      <c r="J18" s="12" t="s">
        <v>2418</v>
      </c>
      <c r="K18" s="12" t="s">
        <v>2419</v>
      </c>
    </row>
    <row r="19" spans="1:11" ht="25" x14ac:dyDescent="0.35">
      <c r="A19" s="12" t="s">
        <v>2420</v>
      </c>
      <c r="B19" s="12" t="s">
        <v>301</v>
      </c>
      <c r="C19" s="12" t="s">
        <v>2336</v>
      </c>
      <c r="D19" s="12" t="s">
        <v>2421</v>
      </c>
      <c r="E19" s="12" t="s">
        <v>2338</v>
      </c>
      <c r="F19" s="12" t="s">
        <v>388</v>
      </c>
      <c r="G19" s="12" t="s">
        <v>2422</v>
      </c>
      <c r="H19" s="12" t="s">
        <v>2331</v>
      </c>
      <c r="I19" s="12" t="s">
        <v>262</v>
      </c>
      <c r="J19" s="12" t="s">
        <v>2340</v>
      </c>
      <c r="K19" s="12" t="s">
        <v>2341</v>
      </c>
    </row>
    <row r="20" spans="1:11" x14ac:dyDescent="0.35">
      <c r="A20" s="12" t="s">
        <v>2423</v>
      </c>
      <c r="B20" s="12" t="s">
        <v>1029</v>
      </c>
      <c r="C20" s="12" t="s">
        <v>2318</v>
      </c>
      <c r="D20" s="12" t="s">
        <v>2424</v>
      </c>
      <c r="E20" s="12" t="s">
        <v>2338</v>
      </c>
      <c r="F20" s="12" t="s">
        <v>2425</v>
      </c>
      <c r="G20" s="12" t="s">
        <v>2426</v>
      </c>
      <c r="H20" s="12" t="s">
        <v>2427</v>
      </c>
      <c r="I20" s="12" t="s">
        <v>262</v>
      </c>
      <c r="J20" s="12" t="s">
        <v>2428</v>
      </c>
      <c r="K20" s="12" t="s">
        <v>2429</v>
      </c>
    </row>
    <row r="21" spans="1:11" x14ac:dyDescent="0.35">
      <c r="A21" s="12" t="s">
        <v>2430</v>
      </c>
      <c r="B21" s="12" t="s">
        <v>1029</v>
      </c>
      <c r="C21" s="12" t="s">
        <v>2318</v>
      </c>
      <c r="D21" s="12" t="s">
        <v>2431</v>
      </c>
      <c r="E21" s="12" t="s">
        <v>2338</v>
      </c>
      <c r="F21" s="12" t="s">
        <v>2432</v>
      </c>
      <c r="G21" s="12" t="s">
        <v>2433</v>
      </c>
      <c r="H21" s="12" t="s">
        <v>2434</v>
      </c>
      <c r="I21" s="12" t="s">
        <v>262</v>
      </c>
      <c r="J21" s="12" t="s">
        <v>2435</v>
      </c>
      <c r="K21" s="12" t="s">
        <v>2436</v>
      </c>
    </row>
    <row r="22" spans="1:11" ht="25" x14ac:dyDescent="0.35">
      <c r="A22" s="12" t="s">
        <v>2437</v>
      </c>
      <c r="B22" s="12" t="s">
        <v>314</v>
      </c>
      <c r="C22" s="12" t="s">
        <v>2318</v>
      </c>
      <c r="D22" s="12" t="s">
        <v>2438</v>
      </c>
      <c r="E22" s="12" t="s">
        <v>2338</v>
      </c>
      <c r="F22" s="12" t="s">
        <v>2439</v>
      </c>
      <c r="G22" s="12" t="s">
        <v>2440</v>
      </c>
      <c r="H22" s="12" t="s">
        <v>2331</v>
      </c>
      <c r="I22" s="12" t="s">
        <v>262</v>
      </c>
      <c r="J22" s="12" t="s">
        <v>2340</v>
      </c>
      <c r="K22" s="12" t="s">
        <v>2341</v>
      </c>
    </row>
    <row r="23" spans="1:11" ht="25" x14ac:dyDescent="0.35">
      <c r="A23" s="12" t="s">
        <v>2441</v>
      </c>
      <c r="B23" s="12" t="s">
        <v>326</v>
      </c>
      <c r="C23" s="12" t="s">
        <v>2336</v>
      </c>
      <c r="D23" s="12" t="s">
        <v>2442</v>
      </c>
      <c r="E23" s="12" t="s">
        <v>2338</v>
      </c>
      <c r="F23" s="12" t="s">
        <v>2443</v>
      </c>
      <c r="G23" s="12" t="s">
        <v>2444</v>
      </c>
      <c r="H23" s="12" t="s">
        <v>2331</v>
      </c>
      <c r="I23" s="12" t="s">
        <v>262</v>
      </c>
      <c r="J23" s="12" t="s">
        <v>2340</v>
      </c>
      <c r="K23" s="12" t="s">
        <v>2341</v>
      </c>
    </row>
    <row r="24" spans="1:11" ht="25" x14ac:dyDescent="0.35">
      <c r="A24" s="12" t="s">
        <v>2445</v>
      </c>
      <c r="B24" s="12" t="s">
        <v>335</v>
      </c>
      <c r="C24" s="12" t="s">
        <v>2336</v>
      </c>
      <c r="D24" s="12" t="s">
        <v>2446</v>
      </c>
      <c r="E24" s="12" t="s">
        <v>2404</v>
      </c>
      <c r="F24" s="12" t="s">
        <v>2447</v>
      </c>
      <c r="G24" s="12" t="s">
        <v>2448</v>
      </c>
      <c r="H24" s="12" t="s">
        <v>2412</v>
      </c>
      <c r="I24" s="12" t="s">
        <v>262</v>
      </c>
      <c r="J24" s="12" t="s">
        <v>2340</v>
      </c>
      <c r="K24" s="12" t="s">
        <v>2341</v>
      </c>
    </row>
    <row r="25" spans="1:11" ht="25" x14ac:dyDescent="0.35">
      <c r="A25" s="12" t="s">
        <v>2449</v>
      </c>
      <c r="B25" s="12" t="s">
        <v>1637</v>
      </c>
      <c r="C25" s="12" t="s">
        <v>2336</v>
      </c>
      <c r="D25" s="12" t="s">
        <v>2450</v>
      </c>
      <c r="E25" s="12" t="s">
        <v>2320</v>
      </c>
      <c r="F25" s="12" t="s">
        <v>388</v>
      </c>
      <c r="G25" s="12" t="s">
        <v>2451</v>
      </c>
      <c r="H25" s="12" t="s">
        <v>2452</v>
      </c>
      <c r="I25" s="12" t="s">
        <v>262</v>
      </c>
      <c r="J25" s="12" t="s">
        <v>2340</v>
      </c>
      <c r="K25" s="12" t="s">
        <v>2341</v>
      </c>
    </row>
    <row r="27" spans="1:11" ht="39" customHeight="1" x14ac:dyDescent="0.35">
      <c r="A27" s="1" t="s">
        <v>2453</v>
      </c>
      <c r="B27" s="1"/>
      <c r="C27" s="1"/>
      <c r="D27" s="1"/>
      <c r="E27" s="1"/>
      <c r="F27" s="1"/>
      <c r="G27" s="1"/>
      <c r="H27" s="1"/>
      <c r="I27" s="1"/>
      <c r="J27" s="1"/>
      <c r="K27" s="1"/>
    </row>
  </sheetData>
  <autoFilter ref="A1:K25" xr:uid="{00000000-0009-0000-0000-00001C000000}"/>
  <mergeCells count="1">
    <mergeCell ref="A27:K27"/>
  </mergeCells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695C"/>
  </sheetPr>
  <dimension ref="A1:H25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36" customWidth="1"/>
    <col min="2" max="2" width="14" customWidth="1"/>
    <col min="3" max="3" width="12" customWidth="1"/>
    <col min="4" max="4" width="20" customWidth="1"/>
    <col min="5" max="5" width="40" customWidth="1"/>
    <col min="6" max="6" width="22" customWidth="1"/>
    <col min="7" max="7" width="12" customWidth="1"/>
    <col min="8" max="8" width="50" customWidth="1"/>
  </cols>
  <sheetData>
    <row r="1" spans="1:8" ht="27.75" customHeight="1" x14ac:dyDescent="0.35">
      <c r="A1" s="11" t="s">
        <v>2454</v>
      </c>
      <c r="B1" s="11" t="s">
        <v>2455</v>
      </c>
      <c r="C1" s="11" t="s">
        <v>248</v>
      </c>
      <c r="D1" s="11" t="s">
        <v>2008</v>
      </c>
      <c r="E1" s="11" t="s">
        <v>2456</v>
      </c>
      <c r="F1" s="11" t="s">
        <v>2457</v>
      </c>
      <c r="G1" s="11" t="s">
        <v>2458</v>
      </c>
      <c r="H1" s="11" t="s">
        <v>472</v>
      </c>
    </row>
    <row r="2" spans="1:8" ht="25" x14ac:dyDescent="0.35">
      <c r="A2" s="12" t="s">
        <v>2459</v>
      </c>
      <c r="B2" s="12" t="s">
        <v>2460</v>
      </c>
      <c r="C2" s="12" t="s">
        <v>2461</v>
      </c>
      <c r="D2" s="12" t="s">
        <v>2462</v>
      </c>
      <c r="E2" s="12" t="s">
        <v>2463</v>
      </c>
      <c r="F2" s="12" t="s">
        <v>2464</v>
      </c>
      <c r="G2" s="12" t="s">
        <v>2465</v>
      </c>
      <c r="H2" s="12" t="s">
        <v>2466</v>
      </c>
    </row>
    <row r="3" spans="1:8" x14ac:dyDescent="0.35">
      <c r="A3" s="12" t="s">
        <v>2467</v>
      </c>
      <c r="B3" s="12" t="s">
        <v>1184</v>
      </c>
      <c r="C3" s="12" t="s">
        <v>2468</v>
      </c>
      <c r="D3" s="12" t="s">
        <v>2469</v>
      </c>
      <c r="E3" s="12" t="s">
        <v>2470</v>
      </c>
      <c r="F3" s="12" t="s">
        <v>2471</v>
      </c>
      <c r="G3" s="12" t="s">
        <v>2472</v>
      </c>
      <c r="H3" s="12" t="s">
        <v>2473</v>
      </c>
    </row>
    <row r="4" spans="1:8" x14ac:dyDescent="0.35">
      <c r="A4" s="12" t="s">
        <v>2474</v>
      </c>
      <c r="B4" s="12" t="s">
        <v>1184</v>
      </c>
      <c r="C4" s="12" t="s">
        <v>2468</v>
      </c>
      <c r="D4" s="12" t="s">
        <v>2475</v>
      </c>
      <c r="E4" s="12" t="s">
        <v>2476</v>
      </c>
      <c r="F4" s="12" t="s">
        <v>2471</v>
      </c>
      <c r="G4" s="12" t="s">
        <v>2472</v>
      </c>
      <c r="H4" s="12" t="s">
        <v>2477</v>
      </c>
    </row>
    <row r="5" spans="1:8" x14ac:dyDescent="0.35">
      <c r="A5" s="12" t="s">
        <v>2478</v>
      </c>
      <c r="B5" s="12" t="s">
        <v>2479</v>
      </c>
      <c r="C5" s="12" t="s">
        <v>2480</v>
      </c>
      <c r="D5" s="12" t="s">
        <v>2481</v>
      </c>
      <c r="E5" s="12" t="s">
        <v>2482</v>
      </c>
      <c r="F5" s="12" t="s">
        <v>2483</v>
      </c>
      <c r="G5" s="12" t="s">
        <v>2472</v>
      </c>
      <c r="H5" s="12" t="s">
        <v>2484</v>
      </c>
    </row>
    <row r="6" spans="1:8" ht="25" x14ac:dyDescent="0.35">
      <c r="A6" s="12" t="s">
        <v>2485</v>
      </c>
      <c r="B6" s="12" t="s">
        <v>2460</v>
      </c>
      <c r="C6" s="12" t="s">
        <v>2486</v>
      </c>
      <c r="D6" s="12" t="s">
        <v>2487</v>
      </c>
      <c r="E6" s="12" t="s">
        <v>2488</v>
      </c>
      <c r="F6" s="12" t="s">
        <v>2489</v>
      </c>
      <c r="G6" s="12" t="s">
        <v>2490</v>
      </c>
      <c r="H6" s="12" t="s">
        <v>2491</v>
      </c>
    </row>
    <row r="7" spans="1:8" x14ac:dyDescent="0.35">
      <c r="A7" s="12" t="s">
        <v>2492</v>
      </c>
      <c r="B7" s="12" t="s">
        <v>2460</v>
      </c>
      <c r="C7" s="12" t="s">
        <v>2493</v>
      </c>
      <c r="D7" s="12" t="s">
        <v>2494</v>
      </c>
      <c r="E7" s="12" t="s">
        <v>2495</v>
      </c>
      <c r="F7" s="12" t="s">
        <v>2489</v>
      </c>
      <c r="G7" s="12" t="s">
        <v>2472</v>
      </c>
      <c r="H7" s="12" t="s">
        <v>2496</v>
      </c>
    </row>
    <row r="8" spans="1:8" x14ac:dyDescent="0.35">
      <c r="A8" s="12" t="s">
        <v>2497</v>
      </c>
      <c r="B8" s="12" t="s">
        <v>2460</v>
      </c>
      <c r="C8" s="12" t="s">
        <v>2498</v>
      </c>
      <c r="D8" s="12" t="s">
        <v>2499</v>
      </c>
      <c r="E8" s="12" t="s">
        <v>2500</v>
      </c>
      <c r="F8" s="12" t="s">
        <v>2489</v>
      </c>
      <c r="G8" s="12" t="s">
        <v>2472</v>
      </c>
      <c r="H8" s="12" t="s">
        <v>2501</v>
      </c>
    </row>
    <row r="9" spans="1:8" x14ac:dyDescent="0.35">
      <c r="A9" s="12" t="s">
        <v>2502</v>
      </c>
      <c r="B9" s="12" t="s">
        <v>2460</v>
      </c>
      <c r="C9" s="12" t="s">
        <v>2503</v>
      </c>
      <c r="D9" s="12" t="s">
        <v>2157</v>
      </c>
      <c r="E9" s="12" t="s">
        <v>388</v>
      </c>
      <c r="F9" s="12" t="s">
        <v>2489</v>
      </c>
      <c r="G9" s="12" t="s">
        <v>2472</v>
      </c>
      <c r="H9" s="12" t="s">
        <v>2504</v>
      </c>
    </row>
    <row r="10" spans="1:8" x14ac:dyDescent="0.35">
      <c r="A10" s="12" t="s">
        <v>2505</v>
      </c>
      <c r="B10" s="12" t="s">
        <v>2479</v>
      </c>
      <c r="C10" s="12" t="s">
        <v>2498</v>
      </c>
      <c r="D10" s="12" t="s">
        <v>2506</v>
      </c>
      <c r="E10" s="12" t="s">
        <v>2507</v>
      </c>
      <c r="F10" s="12" t="s">
        <v>2489</v>
      </c>
      <c r="G10" s="12" t="s">
        <v>2472</v>
      </c>
      <c r="H10" s="12" t="s">
        <v>2508</v>
      </c>
    </row>
    <row r="11" spans="1:8" x14ac:dyDescent="0.35">
      <c r="A11" s="12" t="s">
        <v>2509</v>
      </c>
      <c r="B11" s="12" t="s">
        <v>2510</v>
      </c>
      <c r="C11" s="12" t="s">
        <v>2461</v>
      </c>
      <c r="D11" s="12" t="s">
        <v>2511</v>
      </c>
      <c r="E11" s="12" t="s">
        <v>2512</v>
      </c>
      <c r="F11" s="12" t="s">
        <v>2513</v>
      </c>
      <c r="G11" s="12" t="s">
        <v>2472</v>
      </c>
      <c r="H11" s="12" t="s">
        <v>2514</v>
      </c>
    </row>
    <row r="12" spans="1:8" x14ac:dyDescent="0.35">
      <c r="A12" s="12" t="s">
        <v>2515</v>
      </c>
      <c r="B12" s="12" t="s">
        <v>2510</v>
      </c>
      <c r="C12" s="12" t="s">
        <v>2461</v>
      </c>
      <c r="D12" s="12" t="s">
        <v>2516</v>
      </c>
      <c r="E12" s="12" t="s">
        <v>2517</v>
      </c>
      <c r="F12" s="12" t="s">
        <v>2513</v>
      </c>
      <c r="G12" s="12" t="s">
        <v>2472</v>
      </c>
      <c r="H12" s="12" t="s">
        <v>2518</v>
      </c>
    </row>
    <row r="13" spans="1:8" x14ac:dyDescent="0.35">
      <c r="A13" s="12" t="s">
        <v>2519</v>
      </c>
      <c r="B13" s="12" t="s">
        <v>2510</v>
      </c>
      <c r="C13" s="12" t="s">
        <v>2461</v>
      </c>
      <c r="D13" s="12" t="s">
        <v>2520</v>
      </c>
      <c r="E13" s="12" t="s">
        <v>2521</v>
      </c>
      <c r="F13" s="12" t="s">
        <v>2513</v>
      </c>
      <c r="G13" s="12" t="s">
        <v>2472</v>
      </c>
      <c r="H13" s="12" t="s">
        <v>2522</v>
      </c>
    </row>
    <row r="14" spans="1:8" x14ac:dyDescent="0.35">
      <c r="A14" s="12" t="s">
        <v>2523</v>
      </c>
      <c r="B14" s="12" t="s">
        <v>2524</v>
      </c>
      <c r="C14" s="12" t="s">
        <v>2503</v>
      </c>
      <c r="D14" s="12" t="s">
        <v>2044</v>
      </c>
      <c r="E14" s="12" t="s">
        <v>2525</v>
      </c>
      <c r="F14" s="12" t="s">
        <v>2526</v>
      </c>
      <c r="G14" s="12" t="s">
        <v>2472</v>
      </c>
      <c r="H14" s="12" t="s">
        <v>2527</v>
      </c>
    </row>
    <row r="15" spans="1:8" x14ac:dyDescent="0.35">
      <c r="A15" s="12" t="s">
        <v>2528</v>
      </c>
      <c r="B15" s="12" t="s">
        <v>1184</v>
      </c>
      <c r="C15" s="12" t="s">
        <v>2486</v>
      </c>
      <c r="D15" s="12" t="s">
        <v>388</v>
      </c>
      <c r="E15" s="12" t="s">
        <v>2529</v>
      </c>
      <c r="F15" s="12" t="s">
        <v>2530</v>
      </c>
      <c r="G15" s="12" t="s">
        <v>2472</v>
      </c>
      <c r="H15" s="12" t="s">
        <v>2531</v>
      </c>
    </row>
    <row r="16" spans="1:8" x14ac:dyDescent="0.35">
      <c r="A16" s="12" t="s">
        <v>2532</v>
      </c>
      <c r="B16" s="12" t="s">
        <v>2460</v>
      </c>
      <c r="C16" s="12" t="s">
        <v>2461</v>
      </c>
      <c r="D16" s="12" t="s">
        <v>2533</v>
      </c>
      <c r="E16" s="12" t="s">
        <v>2534</v>
      </c>
      <c r="F16" s="12" t="s">
        <v>2489</v>
      </c>
      <c r="G16" s="12" t="s">
        <v>2472</v>
      </c>
      <c r="H16" s="12" t="s">
        <v>2535</v>
      </c>
    </row>
    <row r="17" spans="1:8" x14ac:dyDescent="0.35">
      <c r="A17" s="12" t="s">
        <v>2536</v>
      </c>
      <c r="B17" s="12" t="s">
        <v>1184</v>
      </c>
      <c r="C17" s="12" t="s">
        <v>2498</v>
      </c>
      <c r="D17" s="12" t="s">
        <v>2537</v>
      </c>
      <c r="E17" s="12" t="s">
        <v>2538</v>
      </c>
      <c r="F17" s="12" t="s">
        <v>2539</v>
      </c>
      <c r="G17" s="12" t="s">
        <v>2472</v>
      </c>
      <c r="H17" s="12" t="s">
        <v>2540</v>
      </c>
    </row>
    <row r="18" spans="1:8" x14ac:dyDescent="0.35">
      <c r="A18" s="12" t="s">
        <v>2541</v>
      </c>
      <c r="B18" s="12" t="s">
        <v>1184</v>
      </c>
      <c r="C18" s="12" t="s">
        <v>2480</v>
      </c>
      <c r="D18" s="12" t="s">
        <v>2542</v>
      </c>
      <c r="E18" s="12" t="s">
        <v>2543</v>
      </c>
      <c r="F18" s="12" t="s">
        <v>2489</v>
      </c>
      <c r="G18" s="12" t="s">
        <v>2472</v>
      </c>
      <c r="H18" s="12" t="s">
        <v>2544</v>
      </c>
    </row>
    <row r="19" spans="1:8" x14ac:dyDescent="0.35">
      <c r="A19" s="12" t="s">
        <v>2545</v>
      </c>
      <c r="B19" s="12" t="s">
        <v>2460</v>
      </c>
      <c r="C19" s="12" t="s">
        <v>2546</v>
      </c>
      <c r="D19" s="12" t="s">
        <v>2547</v>
      </c>
      <c r="E19" s="12" t="s">
        <v>2548</v>
      </c>
      <c r="F19" s="12" t="s">
        <v>2489</v>
      </c>
      <c r="G19" s="12" t="s">
        <v>2472</v>
      </c>
      <c r="H19" s="12" t="s">
        <v>2549</v>
      </c>
    </row>
    <row r="20" spans="1:8" x14ac:dyDescent="0.35">
      <c r="A20" s="12" t="s">
        <v>2550</v>
      </c>
      <c r="B20" s="12" t="s">
        <v>2460</v>
      </c>
      <c r="C20" s="12" t="s">
        <v>2551</v>
      </c>
      <c r="D20" s="12" t="s">
        <v>2552</v>
      </c>
      <c r="E20" s="12" t="s">
        <v>2553</v>
      </c>
      <c r="F20" s="12" t="s">
        <v>2554</v>
      </c>
      <c r="G20" s="12" t="s">
        <v>2465</v>
      </c>
      <c r="H20" s="12" t="s">
        <v>2555</v>
      </c>
    </row>
    <row r="21" spans="1:8" x14ac:dyDescent="0.35">
      <c r="A21" s="12" t="s">
        <v>2556</v>
      </c>
      <c r="B21" s="12" t="s">
        <v>2460</v>
      </c>
      <c r="C21" s="12" t="s">
        <v>2557</v>
      </c>
      <c r="D21" s="12" t="s">
        <v>2558</v>
      </c>
      <c r="E21" s="12" t="s">
        <v>2559</v>
      </c>
      <c r="F21" s="12" t="s">
        <v>2489</v>
      </c>
      <c r="G21" s="12" t="s">
        <v>2472</v>
      </c>
      <c r="H21" s="12" t="s">
        <v>2560</v>
      </c>
    </row>
    <row r="22" spans="1:8" x14ac:dyDescent="0.35">
      <c r="A22" s="12" t="s">
        <v>2561</v>
      </c>
      <c r="B22" s="12" t="s">
        <v>2460</v>
      </c>
      <c r="C22" s="12" t="s">
        <v>2461</v>
      </c>
      <c r="D22" s="12" t="s">
        <v>2562</v>
      </c>
      <c r="E22" s="12" t="s">
        <v>2563</v>
      </c>
      <c r="F22" s="12" t="s">
        <v>2489</v>
      </c>
      <c r="G22" s="12" t="s">
        <v>2472</v>
      </c>
      <c r="H22" s="12" t="s">
        <v>2564</v>
      </c>
    </row>
    <row r="23" spans="1:8" x14ac:dyDescent="0.35">
      <c r="A23" s="12" t="s">
        <v>2565</v>
      </c>
      <c r="B23" s="12" t="s">
        <v>2460</v>
      </c>
      <c r="C23" s="12" t="s">
        <v>2486</v>
      </c>
      <c r="D23" s="12" t="s">
        <v>388</v>
      </c>
      <c r="E23" s="12" t="s">
        <v>2566</v>
      </c>
      <c r="F23" s="12" t="s">
        <v>2567</v>
      </c>
      <c r="G23" s="12" t="s">
        <v>2472</v>
      </c>
      <c r="H23" s="12" t="s">
        <v>2568</v>
      </c>
    </row>
    <row r="25" spans="1:8" ht="27.75" customHeight="1" x14ac:dyDescent="0.35">
      <c r="A25" s="1" t="s">
        <v>2569</v>
      </c>
      <c r="B25" s="1"/>
      <c r="C25" s="1"/>
      <c r="D25" s="1"/>
      <c r="E25" s="1"/>
      <c r="F25" s="1"/>
      <c r="G25" s="1"/>
      <c r="H25" s="1"/>
    </row>
  </sheetData>
  <autoFilter ref="A1:H23" xr:uid="{00000000-0009-0000-0000-00001D000000}"/>
  <mergeCells count="1">
    <mergeCell ref="A25:H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695C"/>
  </sheetPr>
  <dimension ref="A1:F14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4" customWidth="1"/>
    <col min="2" max="2" width="40" customWidth="1"/>
    <col min="3" max="3" width="18" customWidth="1"/>
    <col min="4" max="4" width="44" customWidth="1"/>
    <col min="5" max="6" width="40" customWidth="1"/>
  </cols>
  <sheetData>
    <row r="1" spans="1:6" ht="27.75" customHeight="1" x14ac:dyDescent="0.35">
      <c r="A1" s="11" t="s">
        <v>2570</v>
      </c>
      <c r="B1" s="11" t="s">
        <v>1396</v>
      </c>
      <c r="C1" s="11" t="s">
        <v>2571</v>
      </c>
      <c r="D1" s="11" t="s">
        <v>2572</v>
      </c>
      <c r="E1" s="11" t="s">
        <v>2573</v>
      </c>
      <c r="F1" s="11" t="s">
        <v>2574</v>
      </c>
    </row>
    <row r="2" spans="1:6" ht="25" x14ac:dyDescent="0.35">
      <c r="A2" s="12" t="s">
        <v>2575</v>
      </c>
      <c r="B2" s="12" t="s">
        <v>2576</v>
      </c>
      <c r="C2" s="12" t="s">
        <v>2577</v>
      </c>
      <c r="D2" s="12" t="s">
        <v>2578</v>
      </c>
      <c r="E2" s="12" t="s">
        <v>2579</v>
      </c>
      <c r="F2" s="12" t="s">
        <v>2580</v>
      </c>
    </row>
    <row r="3" spans="1:6" ht="25" x14ac:dyDescent="0.35">
      <c r="A3" s="12" t="s">
        <v>463</v>
      </c>
      <c r="B3" s="12" t="s">
        <v>2581</v>
      </c>
      <c r="C3" s="12" t="s">
        <v>2582</v>
      </c>
      <c r="D3" s="12" t="s">
        <v>2583</v>
      </c>
      <c r="E3" s="12" t="s">
        <v>2584</v>
      </c>
      <c r="F3" s="12" t="s">
        <v>2585</v>
      </c>
    </row>
    <row r="4" spans="1:6" ht="25" x14ac:dyDescent="0.35">
      <c r="A4" s="12" t="s">
        <v>2586</v>
      </c>
      <c r="B4" s="12" t="s">
        <v>2587</v>
      </c>
      <c r="C4" s="12" t="s">
        <v>2588</v>
      </c>
      <c r="D4" s="12" t="s">
        <v>2589</v>
      </c>
      <c r="E4" s="12" t="s">
        <v>2590</v>
      </c>
      <c r="F4" s="12" t="s">
        <v>2591</v>
      </c>
    </row>
    <row r="5" spans="1:6" x14ac:dyDescent="0.35">
      <c r="A5" s="12" t="s">
        <v>2592</v>
      </c>
      <c r="B5" s="12" t="s">
        <v>2593</v>
      </c>
      <c r="C5" s="12" t="s">
        <v>2594</v>
      </c>
      <c r="D5" s="12" t="s">
        <v>2595</v>
      </c>
      <c r="E5" s="12" t="s">
        <v>2596</v>
      </c>
      <c r="F5" s="12" t="s">
        <v>2597</v>
      </c>
    </row>
    <row r="6" spans="1:6" x14ac:dyDescent="0.35">
      <c r="A6" s="12" t="s">
        <v>2598</v>
      </c>
      <c r="B6" s="12" t="s">
        <v>2599</v>
      </c>
      <c r="C6" s="12" t="s">
        <v>2600</v>
      </c>
      <c r="D6" s="12" t="s">
        <v>2601</v>
      </c>
      <c r="E6" s="12" t="s">
        <v>2602</v>
      </c>
      <c r="F6" s="12" t="s">
        <v>2603</v>
      </c>
    </row>
    <row r="7" spans="1:6" ht="25" x14ac:dyDescent="0.35">
      <c r="A7" s="12" t="s">
        <v>2604</v>
      </c>
      <c r="B7" s="12" t="s">
        <v>2605</v>
      </c>
      <c r="C7" s="12" t="s">
        <v>2606</v>
      </c>
      <c r="D7" s="12" t="s">
        <v>2607</v>
      </c>
      <c r="E7" s="12" t="s">
        <v>2608</v>
      </c>
      <c r="F7" s="12" t="s">
        <v>2609</v>
      </c>
    </row>
    <row r="8" spans="1:6" ht="37.5" x14ac:dyDescent="0.35">
      <c r="A8" s="12" t="s">
        <v>2610</v>
      </c>
      <c r="B8" s="12" t="s">
        <v>2611</v>
      </c>
      <c r="C8" s="12" t="s">
        <v>2612</v>
      </c>
      <c r="D8" s="12" t="s">
        <v>2613</v>
      </c>
      <c r="E8" s="12" t="s">
        <v>2614</v>
      </c>
      <c r="F8" s="12" t="s">
        <v>2615</v>
      </c>
    </row>
    <row r="9" spans="1:6" ht="25" x14ac:dyDescent="0.35">
      <c r="A9" s="12" t="s">
        <v>2616</v>
      </c>
      <c r="B9" s="12" t="s">
        <v>2617</v>
      </c>
      <c r="C9" s="12" t="s">
        <v>2618</v>
      </c>
      <c r="D9" s="12" t="s">
        <v>2619</v>
      </c>
      <c r="E9" s="12" t="s">
        <v>2620</v>
      </c>
      <c r="F9" s="12" t="s">
        <v>2621</v>
      </c>
    </row>
    <row r="10" spans="1:6" ht="25" x14ac:dyDescent="0.35">
      <c r="A10" s="12" t="s">
        <v>2622</v>
      </c>
      <c r="B10" s="12" t="s">
        <v>2623</v>
      </c>
      <c r="C10" s="12" t="s">
        <v>2624</v>
      </c>
      <c r="D10" s="12" t="s">
        <v>2625</v>
      </c>
      <c r="E10" s="12" t="s">
        <v>2626</v>
      </c>
      <c r="F10" s="12" t="s">
        <v>2627</v>
      </c>
    </row>
    <row r="11" spans="1:6" ht="37.5" x14ac:dyDescent="0.35">
      <c r="A11" s="12" t="s">
        <v>2628</v>
      </c>
      <c r="B11" s="12" t="s">
        <v>2629</v>
      </c>
      <c r="C11" s="12" t="s">
        <v>2630</v>
      </c>
      <c r="D11" s="12" t="s">
        <v>2631</v>
      </c>
      <c r="E11" s="12" t="s">
        <v>2632</v>
      </c>
      <c r="F11" s="12" t="s">
        <v>2633</v>
      </c>
    </row>
    <row r="12" spans="1:6" ht="25" x14ac:dyDescent="0.35">
      <c r="A12" s="12" t="s">
        <v>2634</v>
      </c>
      <c r="B12" s="12" t="s">
        <v>2635</v>
      </c>
      <c r="C12" s="12" t="s">
        <v>2636</v>
      </c>
      <c r="D12" s="12" t="s">
        <v>2637</v>
      </c>
      <c r="E12" s="12" t="s">
        <v>2638</v>
      </c>
      <c r="F12" s="12" t="s">
        <v>2639</v>
      </c>
    </row>
    <row r="14" spans="1:6" ht="27.75" customHeight="1" x14ac:dyDescent="0.35">
      <c r="A14" s="1" t="s">
        <v>2640</v>
      </c>
      <c r="B14" s="1"/>
      <c r="C14" s="1"/>
      <c r="D14" s="1"/>
      <c r="E14" s="1"/>
      <c r="F14" s="1"/>
    </row>
  </sheetData>
  <autoFilter ref="A1:F12" xr:uid="{00000000-0009-0000-0000-00001E000000}"/>
  <mergeCells count="1">
    <mergeCell ref="A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B71C1C"/>
  </sheetPr>
  <dimension ref="A1:F3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0" customWidth="1"/>
    <col min="2" max="2" width="26" customWidth="1"/>
    <col min="3" max="3" width="76" customWidth="1"/>
    <col min="4" max="5" width="14" customWidth="1"/>
    <col min="6" max="6" width="16" customWidth="1"/>
  </cols>
  <sheetData>
    <row r="1" spans="1:6" ht="27.75" customHeight="1" x14ac:dyDescent="0.35">
      <c r="A1" s="11" t="s">
        <v>2641</v>
      </c>
      <c r="B1" s="11" t="s">
        <v>2642</v>
      </c>
      <c r="C1" s="11" t="s">
        <v>2643</v>
      </c>
      <c r="D1" s="11" t="s">
        <v>2644</v>
      </c>
      <c r="E1" s="11" t="s">
        <v>2645</v>
      </c>
      <c r="F1" s="11" t="s">
        <v>2646</v>
      </c>
    </row>
    <row r="2" spans="1:6" x14ac:dyDescent="0.35">
      <c r="A2" s="12" t="s">
        <v>2647</v>
      </c>
      <c r="B2" s="12" t="s">
        <v>2648</v>
      </c>
      <c r="C2" s="12" t="s">
        <v>2649</v>
      </c>
      <c r="D2" s="12" t="s">
        <v>2650</v>
      </c>
      <c r="E2" s="12" t="s">
        <v>2651</v>
      </c>
      <c r="F2" s="12" t="s">
        <v>2652</v>
      </c>
    </row>
    <row r="3" spans="1:6" x14ac:dyDescent="0.35">
      <c r="A3" s="12" t="s">
        <v>2647</v>
      </c>
      <c r="B3" s="12" t="s">
        <v>2653</v>
      </c>
      <c r="C3" s="12" t="s">
        <v>2654</v>
      </c>
      <c r="D3" s="12" t="s">
        <v>2655</v>
      </c>
      <c r="E3" s="12" t="s">
        <v>2656</v>
      </c>
      <c r="F3" s="12" t="s">
        <v>2652</v>
      </c>
    </row>
    <row r="4" spans="1:6" x14ac:dyDescent="0.35">
      <c r="A4" s="12" t="s">
        <v>2647</v>
      </c>
      <c r="B4" s="12" t="s">
        <v>2657</v>
      </c>
      <c r="C4" s="12" t="s">
        <v>2658</v>
      </c>
      <c r="D4" s="12" t="s">
        <v>2650</v>
      </c>
      <c r="E4" s="12" t="s">
        <v>2659</v>
      </c>
      <c r="F4" s="12" t="s">
        <v>2652</v>
      </c>
    </row>
    <row r="5" spans="1:6" x14ac:dyDescent="0.35">
      <c r="A5" s="12" t="s">
        <v>2647</v>
      </c>
      <c r="B5" s="12" t="s">
        <v>2660</v>
      </c>
      <c r="C5" s="12" t="s">
        <v>2661</v>
      </c>
      <c r="D5" s="12" t="s">
        <v>2662</v>
      </c>
      <c r="E5" s="12" t="s">
        <v>2663</v>
      </c>
      <c r="F5" s="12" t="s">
        <v>2652</v>
      </c>
    </row>
    <row r="6" spans="1:6" x14ac:dyDescent="0.35">
      <c r="A6" s="12" t="s">
        <v>2647</v>
      </c>
      <c r="B6" s="12" t="s">
        <v>2664</v>
      </c>
      <c r="C6" s="12" t="s">
        <v>2665</v>
      </c>
      <c r="D6" s="12" t="s">
        <v>2666</v>
      </c>
      <c r="E6" s="12" t="s">
        <v>2667</v>
      </c>
      <c r="F6" s="12" t="s">
        <v>2652</v>
      </c>
    </row>
    <row r="7" spans="1:6" x14ac:dyDescent="0.35">
      <c r="A7" s="12" t="s">
        <v>2647</v>
      </c>
      <c r="B7" s="12" t="s">
        <v>2668</v>
      </c>
      <c r="C7" s="12" t="s">
        <v>2669</v>
      </c>
      <c r="D7" s="12" t="s">
        <v>2670</v>
      </c>
      <c r="E7" s="12" t="s">
        <v>2671</v>
      </c>
      <c r="F7" s="12" t="s">
        <v>2672</v>
      </c>
    </row>
    <row r="8" spans="1:6" x14ac:dyDescent="0.35">
      <c r="A8" s="12" t="s">
        <v>2673</v>
      </c>
      <c r="B8" s="12" t="s">
        <v>2674</v>
      </c>
      <c r="C8" s="12" t="s">
        <v>2675</v>
      </c>
      <c r="D8" s="12" t="s">
        <v>2676</v>
      </c>
      <c r="E8" s="12" t="s">
        <v>2656</v>
      </c>
      <c r="F8" s="12" t="s">
        <v>2652</v>
      </c>
    </row>
    <row r="9" spans="1:6" x14ac:dyDescent="0.35">
      <c r="A9" s="12" t="s">
        <v>2673</v>
      </c>
      <c r="B9" s="12" t="s">
        <v>2677</v>
      </c>
      <c r="C9" s="12" t="s">
        <v>2678</v>
      </c>
      <c r="D9" s="12" t="s">
        <v>2679</v>
      </c>
      <c r="E9" s="12" t="s">
        <v>2656</v>
      </c>
      <c r="F9" s="12" t="s">
        <v>2652</v>
      </c>
    </row>
    <row r="10" spans="1:6" x14ac:dyDescent="0.35">
      <c r="A10" s="12" t="s">
        <v>2673</v>
      </c>
      <c r="B10" s="12" t="s">
        <v>2680</v>
      </c>
      <c r="C10" s="12" t="s">
        <v>2681</v>
      </c>
      <c r="D10" s="12" t="s">
        <v>2655</v>
      </c>
      <c r="E10" s="12" t="s">
        <v>2682</v>
      </c>
      <c r="F10" s="12" t="s">
        <v>2652</v>
      </c>
    </row>
    <row r="11" spans="1:6" x14ac:dyDescent="0.35">
      <c r="A11" s="12" t="s">
        <v>2673</v>
      </c>
      <c r="B11" s="12" t="s">
        <v>2683</v>
      </c>
      <c r="C11" s="12" t="s">
        <v>2684</v>
      </c>
      <c r="D11" s="12" t="s">
        <v>2685</v>
      </c>
      <c r="E11" s="12" t="s">
        <v>2656</v>
      </c>
      <c r="F11" s="12" t="s">
        <v>2672</v>
      </c>
    </row>
    <row r="12" spans="1:6" x14ac:dyDescent="0.35">
      <c r="A12" s="12" t="s">
        <v>2673</v>
      </c>
      <c r="B12" s="12" t="s">
        <v>2686</v>
      </c>
      <c r="C12" s="12" t="s">
        <v>2687</v>
      </c>
      <c r="D12" s="12" t="s">
        <v>2688</v>
      </c>
      <c r="E12" s="12" t="s">
        <v>2671</v>
      </c>
      <c r="F12" s="12" t="s">
        <v>2672</v>
      </c>
    </row>
    <row r="13" spans="1:6" x14ac:dyDescent="0.35">
      <c r="A13" s="12" t="s">
        <v>2689</v>
      </c>
      <c r="B13" s="12" t="s">
        <v>2690</v>
      </c>
      <c r="C13" s="12" t="s">
        <v>2691</v>
      </c>
      <c r="D13" s="12" t="s">
        <v>2692</v>
      </c>
      <c r="E13" s="12" t="s">
        <v>2693</v>
      </c>
      <c r="F13" s="12" t="s">
        <v>2672</v>
      </c>
    </row>
    <row r="14" spans="1:6" x14ac:dyDescent="0.35">
      <c r="A14" s="12" t="s">
        <v>2689</v>
      </c>
      <c r="B14" s="12" t="s">
        <v>2694</v>
      </c>
      <c r="C14" s="12" t="s">
        <v>2695</v>
      </c>
      <c r="D14" s="12" t="s">
        <v>2696</v>
      </c>
      <c r="E14" s="12" t="s">
        <v>2697</v>
      </c>
      <c r="F14" s="12" t="s">
        <v>2672</v>
      </c>
    </row>
    <row r="15" spans="1:6" x14ac:dyDescent="0.35">
      <c r="A15" s="12" t="s">
        <v>2689</v>
      </c>
      <c r="B15" s="12" t="s">
        <v>2698</v>
      </c>
      <c r="C15" s="12" t="s">
        <v>2699</v>
      </c>
      <c r="D15" s="12" t="s">
        <v>2700</v>
      </c>
      <c r="E15" s="12" t="s">
        <v>2697</v>
      </c>
      <c r="F15" s="12" t="s">
        <v>2672</v>
      </c>
    </row>
    <row r="16" spans="1:6" x14ac:dyDescent="0.35">
      <c r="A16" s="12" t="s">
        <v>2689</v>
      </c>
      <c r="B16" s="12" t="s">
        <v>2701</v>
      </c>
      <c r="C16" s="12" t="s">
        <v>2702</v>
      </c>
      <c r="D16" s="12" t="s">
        <v>1440</v>
      </c>
      <c r="E16" s="12" t="s">
        <v>2703</v>
      </c>
      <c r="F16" s="12" t="s">
        <v>2704</v>
      </c>
    </row>
    <row r="17" spans="1:6" x14ac:dyDescent="0.35">
      <c r="A17" s="12" t="s">
        <v>2705</v>
      </c>
      <c r="B17" s="12" t="s">
        <v>2706</v>
      </c>
      <c r="C17" s="12" t="s">
        <v>2707</v>
      </c>
      <c r="D17" s="12" t="s">
        <v>2688</v>
      </c>
      <c r="E17" s="12" t="s">
        <v>2671</v>
      </c>
      <c r="F17" s="12" t="s">
        <v>2672</v>
      </c>
    </row>
    <row r="18" spans="1:6" x14ac:dyDescent="0.35">
      <c r="A18" s="12" t="s">
        <v>2705</v>
      </c>
      <c r="B18" s="12" t="s">
        <v>2708</v>
      </c>
      <c r="C18" s="12" t="s">
        <v>2709</v>
      </c>
      <c r="D18" s="12" t="s">
        <v>2688</v>
      </c>
      <c r="E18" s="12" t="s">
        <v>2671</v>
      </c>
      <c r="F18" s="12" t="s">
        <v>2672</v>
      </c>
    </row>
    <row r="19" spans="1:6" x14ac:dyDescent="0.35">
      <c r="A19" s="12" t="s">
        <v>2705</v>
      </c>
      <c r="B19" s="12" t="s">
        <v>2710</v>
      </c>
      <c r="C19" s="12" t="s">
        <v>2711</v>
      </c>
      <c r="D19" s="12" t="s">
        <v>2712</v>
      </c>
      <c r="E19" s="12" t="s">
        <v>2671</v>
      </c>
      <c r="F19" s="12" t="s">
        <v>2672</v>
      </c>
    </row>
    <row r="20" spans="1:6" x14ac:dyDescent="0.35">
      <c r="A20" s="12" t="s">
        <v>2705</v>
      </c>
      <c r="B20" s="12" t="s">
        <v>2713</v>
      </c>
      <c r="C20" s="12" t="s">
        <v>2714</v>
      </c>
      <c r="D20" s="12" t="s">
        <v>2712</v>
      </c>
      <c r="E20" s="12" t="s">
        <v>2671</v>
      </c>
      <c r="F20" s="12" t="s">
        <v>2672</v>
      </c>
    </row>
    <row r="21" spans="1:6" x14ac:dyDescent="0.35">
      <c r="A21" s="12" t="s">
        <v>2715</v>
      </c>
      <c r="B21" s="12" t="s">
        <v>2716</v>
      </c>
      <c r="C21" s="12" t="s">
        <v>2717</v>
      </c>
      <c r="D21" s="12" t="s">
        <v>2650</v>
      </c>
      <c r="E21" s="12" t="s">
        <v>2718</v>
      </c>
      <c r="F21" s="12" t="s">
        <v>2652</v>
      </c>
    </row>
    <row r="22" spans="1:6" x14ac:dyDescent="0.35">
      <c r="A22" s="12" t="s">
        <v>2715</v>
      </c>
      <c r="B22" s="12" t="s">
        <v>2719</v>
      </c>
      <c r="C22" s="12" t="s">
        <v>2720</v>
      </c>
      <c r="D22" s="12" t="s">
        <v>2692</v>
      </c>
      <c r="E22" s="12" t="s">
        <v>2693</v>
      </c>
      <c r="F22" s="12" t="s">
        <v>2672</v>
      </c>
    </row>
    <row r="23" spans="1:6" x14ac:dyDescent="0.35">
      <c r="A23" s="12" t="s">
        <v>2715</v>
      </c>
      <c r="B23" s="12" t="s">
        <v>2721</v>
      </c>
      <c r="C23" s="12" t="s">
        <v>2722</v>
      </c>
      <c r="D23" s="12" t="s">
        <v>2723</v>
      </c>
      <c r="E23" s="12" t="s">
        <v>2724</v>
      </c>
      <c r="F23" s="12" t="s">
        <v>2672</v>
      </c>
    </row>
    <row r="24" spans="1:6" x14ac:dyDescent="0.35">
      <c r="A24" s="12" t="s">
        <v>2715</v>
      </c>
      <c r="B24" s="12" t="s">
        <v>2725</v>
      </c>
      <c r="C24" s="12" t="s">
        <v>2726</v>
      </c>
      <c r="D24" s="12" t="s">
        <v>2727</v>
      </c>
      <c r="E24" s="12" t="s">
        <v>2728</v>
      </c>
      <c r="F24" s="12" t="s">
        <v>2704</v>
      </c>
    </row>
    <row r="25" spans="1:6" x14ac:dyDescent="0.35">
      <c r="A25" s="12" t="s">
        <v>2715</v>
      </c>
      <c r="B25" s="12" t="s">
        <v>2729</v>
      </c>
      <c r="C25" s="12" t="s">
        <v>2730</v>
      </c>
      <c r="D25" s="12" t="s">
        <v>2731</v>
      </c>
      <c r="E25" s="12" t="s">
        <v>2732</v>
      </c>
      <c r="F25" s="12" t="s">
        <v>2704</v>
      </c>
    </row>
    <row r="26" spans="1:6" x14ac:dyDescent="0.35">
      <c r="A26" s="12" t="s">
        <v>2731</v>
      </c>
      <c r="B26" s="12" t="s">
        <v>2733</v>
      </c>
      <c r="C26" s="12" t="s">
        <v>2734</v>
      </c>
      <c r="D26" s="12" t="s">
        <v>2688</v>
      </c>
      <c r="E26" s="12" t="s">
        <v>2735</v>
      </c>
      <c r="F26" s="12" t="s">
        <v>2672</v>
      </c>
    </row>
    <row r="27" spans="1:6" x14ac:dyDescent="0.35">
      <c r="A27" s="12" t="s">
        <v>2731</v>
      </c>
      <c r="B27" s="12" t="s">
        <v>2736</v>
      </c>
      <c r="C27" s="12" t="s">
        <v>2737</v>
      </c>
      <c r="D27" s="12" t="s">
        <v>2738</v>
      </c>
      <c r="E27" s="12" t="s">
        <v>2667</v>
      </c>
      <c r="F27" s="12" t="s">
        <v>2652</v>
      </c>
    </row>
    <row r="28" spans="1:6" x14ac:dyDescent="0.35">
      <c r="A28" s="12" t="s">
        <v>2731</v>
      </c>
      <c r="B28" s="12" t="s">
        <v>2739</v>
      </c>
      <c r="C28" s="12" t="s">
        <v>2740</v>
      </c>
      <c r="D28" s="12" t="s">
        <v>2741</v>
      </c>
      <c r="E28" s="12" t="s">
        <v>2732</v>
      </c>
      <c r="F28" s="12" t="s">
        <v>2704</v>
      </c>
    </row>
    <row r="29" spans="1:6" x14ac:dyDescent="0.35">
      <c r="A29" s="12" t="s">
        <v>2731</v>
      </c>
      <c r="B29" s="12" t="s">
        <v>2742</v>
      </c>
      <c r="C29" s="12" t="s">
        <v>2743</v>
      </c>
      <c r="D29" s="12" t="s">
        <v>2738</v>
      </c>
      <c r="E29" s="12" t="s">
        <v>2724</v>
      </c>
      <c r="F29" s="12" t="s">
        <v>2672</v>
      </c>
    </row>
    <row r="31" spans="1:6" ht="27.75" customHeight="1" x14ac:dyDescent="0.35">
      <c r="A31" s="1" t="s">
        <v>2744</v>
      </c>
      <c r="B31" s="1"/>
      <c r="C31" s="1"/>
      <c r="D31" s="1"/>
      <c r="E31" s="1"/>
      <c r="F31" s="1"/>
    </row>
  </sheetData>
  <autoFilter ref="A1:F29" xr:uid="{00000000-0009-0000-0000-00001F000000}"/>
  <mergeCells count="1">
    <mergeCell ref="A31:F31"/>
  </mergeCells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B71C1C"/>
  </sheetPr>
  <dimension ref="A1:L22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8" customWidth="1"/>
    <col min="2" max="2" width="22" customWidth="1"/>
    <col min="3" max="3" width="26" customWidth="1"/>
    <col min="4" max="5" width="52" customWidth="1"/>
    <col min="6" max="6" width="46" customWidth="1"/>
    <col min="7" max="7" width="40" customWidth="1"/>
    <col min="8" max="9" width="34" customWidth="1"/>
    <col min="10" max="11" width="36" customWidth="1"/>
    <col min="12" max="12" width="52" customWidth="1"/>
  </cols>
  <sheetData>
    <row r="1" spans="1:12" ht="27.75" customHeight="1" x14ac:dyDescent="0.35">
      <c r="A1" s="11" t="s">
        <v>2745</v>
      </c>
      <c r="B1" s="11" t="s">
        <v>138</v>
      </c>
      <c r="C1" s="11" t="s">
        <v>301</v>
      </c>
      <c r="D1" s="11" t="s">
        <v>2746</v>
      </c>
      <c r="E1" s="11" t="s">
        <v>2747</v>
      </c>
      <c r="F1" s="11" t="s">
        <v>2748</v>
      </c>
      <c r="G1" s="11" t="s">
        <v>2749</v>
      </c>
      <c r="H1" s="11" t="s">
        <v>2750</v>
      </c>
      <c r="I1" s="11" t="s">
        <v>2751</v>
      </c>
      <c r="J1" s="11" t="s">
        <v>2752</v>
      </c>
      <c r="K1" s="11" t="s">
        <v>2753</v>
      </c>
      <c r="L1" s="11" t="s">
        <v>2754</v>
      </c>
    </row>
    <row r="2" spans="1:12" ht="37.5" x14ac:dyDescent="0.35">
      <c r="A2" s="12" t="s">
        <v>2659</v>
      </c>
      <c r="B2" s="12" t="s">
        <v>2647</v>
      </c>
      <c r="C2" s="12" t="s">
        <v>2755</v>
      </c>
      <c r="D2" s="12" t="s">
        <v>2756</v>
      </c>
      <c r="E2" s="12" t="s">
        <v>2757</v>
      </c>
      <c r="F2" s="12" t="s">
        <v>2758</v>
      </c>
      <c r="G2" s="12" t="s">
        <v>2759</v>
      </c>
      <c r="H2" s="12" t="s">
        <v>2760</v>
      </c>
      <c r="I2" s="12" t="s">
        <v>2761</v>
      </c>
      <c r="J2" s="12" t="s">
        <v>2762</v>
      </c>
      <c r="K2" s="12" t="s">
        <v>2763</v>
      </c>
      <c r="L2" s="12" t="s">
        <v>2764</v>
      </c>
    </row>
    <row r="3" spans="1:12" ht="25" x14ac:dyDescent="0.35">
      <c r="A3" s="12" t="s">
        <v>2656</v>
      </c>
      <c r="B3" s="12" t="s">
        <v>2673</v>
      </c>
      <c r="C3" s="12" t="s">
        <v>2765</v>
      </c>
      <c r="D3" s="12" t="s">
        <v>2766</v>
      </c>
      <c r="E3" s="12" t="s">
        <v>2767</v>
      </c>
      <c r="F3" s="12" t="s">
        <v>2768</v>
      </c>
      <c r="G3" s="12" t="s">
        <v>2769</v>
      </c>
      <c r="H3" s="12" t="s">
        <v>2770</v>
      </c>
      <c r="I3" s="12" t="s">
        <v>2771</v>
      </c>
      <c r="J3" s="12" t="s">
        <v>2772</v>
      </c>
      <c r="K3" s="12" t="s">
        <v>2773</v>
      </c>
      <c r="L3" s="12" t="s">
        <v>2774</v>
      </c>
    </row>
    <row r="4" spans="1:12" ht="25" x14ac:dyDescent="0.35">
      <c r="A4" s="12" t="s">
        <v>2775</v>
      </c>
      <c r="B4" s="12" t="s">
        <v>2776</v>
      </c>
      <c r="C4" s="12" t="s">
        <v>2777</v>
      </c>
      <c r="D4" s="12" t="s">
        <v>2778</v>
      </c>
      <c r="E4" s="12" t="s">
        <v>2779</v>
      </c>
      <c r="F4" s="12" t="s">
        <v>2780</v>
      </c>
      <c r="G4" s="12" t="s">
        <v>2781</v>
      </c>
      <c r="H4" s="12" t="s">
        <v>2782</v>
      </c>
      <c r="I4" s="12" t="s">
        <v>2783</v>
      </c>
      <c r="J4" s="12" t="s">
        <v>2784</v>
      </c>
      <c r="K4" s="12" t="s">
        <v>2785</v>
      </c>
      <c r="L4" s="12" t="s">
        <v>2786</v>
      </c>
    </row>
    <row r="5" spans="1:12" ht="37.5" x14ac:dyDescent="0.35">
      <c r="A5" s="12" t="s">
        <v>2787</v>
      </c>
      <c r="B5" s="12" t="s">
        <v>2788</v>
      </c>
      <c r="C5" s="12" t="s">
        <v>2789</v>
      </c>
      <c r="D5" s="12" t="s">
        <v>2790</v>
      </c>
      <c r="E5" s="12" t="s">
        <v>2791</v>
      </c>
      <c r="F5" s="12" t="s">
        <v>2792</v>
      </c>
      <c r="G5" s="12" t="s">
        <v>2793</v>
      </c>
      <c r="H5" s="12" t="s">
        <v>2794</v>
      </c>
      <c r="I5" s="12" t="s">
        <v>2795</v>
      </c>
      <c r="J5" s="12" t="s">
        <v>2796</v>
      </c>
      <c r="K5" s="12" t="s">
        <v>2797</v>
      </c>
      <c r="L5" s="12" t="s">
        <v>2798</v>
      </c>
    </row>
    <row r="6" spans="1:12" ht="25" x14ac:dyDescent="0.35">
      <c r="A6" s="12" t="s">
        <v>2697</v>
      </c>
      <c r="B6" s="12" t="s">
        <v>2799</v>
      </c>
      <c r="C6" s="12" t="s">
        <v>2800</v>
      </c>
      <c r="D6" s="12" t="s">
        <v>2801</v>
      </c>
      <c r="E6" s="12" t="s">
        <v>2802</v>
      </c>
      <c r="F6" s="12" t="s">
        <v>2803</v>
      </c>
      <c r="G6" s="12" t="s">
        <v>2804</v>
      </c>
      <c r="H6" s="12" t="s">
        <v>2805</v>
      </c>
      <c r="I6" s="12" t="s">
        <v>2806</v>
      </c>
      <c r="J6" s="12" t="s">
        <v>2807</v>
      </c>
      <c r="K6" s="12" t="s">
        <v>2808</v>
      </c>
      <c r="L6" s="12" t="s">
        <v>2809</v>
      </c>
    </row>
    <row r="7" spans="1:12" ht="37.5" x14ac:dyDescent="0.35">
      <c r="A7" s="12" t="s">
        <v>2810</v>
      </c>
      <c r="B7" s="12" t="s">
        <v>2811</v>
      </c>
      <c r="C7" s="12" t="s">
        <v>2812</v>
      </c>
      <c r="D7" s="12" t="s">
        <v>2813</v>
      </c>
      <c r="E7" s="12" t="s">
        <v>2814</v>
      </c>
      <c r="F7" s="12" t="s">
        <v>2815</v>
      </c>
      <c r="G7" s="12" t="s">
        <v>2816</v>
      </c>
      <c r="H7" s="12" t="s">
        <v>2817</v>
      </c>
      <c r="I7" s="12" t="s">
        <v>2818</v>
      </c>
      <c r="J7" s="12" t="s">
        <v>2819</v>
      </c>
      <c r="K7" s="12" t="s">
        <v>2820</v>
      </c>
      <c r="L7" s="12" t="s">
        <v>2821</v>
      </c>
    </row>
    <row r="8" spans="1:12" ht="25" x14ac:dyDescent="0.35">
      <c r="A8" s="12" t="s">
        <v>2703</v>
      </c>
      <c r="B8" s="12" t="s">
        <v>2822</v>
      </c>
      <c r="C8" s="12" t="s">
        <v>2823</v>
      </c>
      <c r="D8" s="12" t="s">
        <v>2824</v>
      </c>
      <c r="E8" s="12" t="s">
        <v>2825</v>
      </c>
      <c r="F8" s="12" t="s">
        <v>2826</v>
      </c>
      <c r="G8" s="12" t="s">
        <v>2827</v>
      </c>
      <c r="H8" s="12" t="s">
        <v>2828</v>
      </c>
      <c r="I8" s="12" t="s">
        <v>2829</v>
      </c>
      <c r="J8" s="12" t="s">
        <v>2830</v>
      </c>
      <c r="K8" s="12" t="s">
        <v>2831</v>
      </c>
      <c r="L8" s="12" t="s">
        <v>2832</v>
      </c>
    </row>
    <row r="9" spans="1:12" ht="25" x14ac:dyDescent="0.35">
      <c r="A9" s="12" t="s">
        <v>2693</v>
      </c>
      <c r="B9" s="12" t="s">
        <v>2833</v>
      </c>
      <c r="C9" s="12" t="s">
        <v>2834</v>
      </c>
      <c r="D9" s="12" t="s">
        <v>2835</v>
      </c>
      <c r="E9" s="12" t="s">
        <v>2836</v>
      </c>
      <c r="F9" s="12" t="s">
        <v>2837</v>
      </c>
      <c r="G9" s="12" t="s">
        <v>2838</v>
      </c>
      <c r="H9" s="12" t="s">
        <v>2839</v>
      </c>
      <c r="I9" s="12" t="s">
        <v>2840</v>
      </c>
      <c r="J9" s="12" t="s">
        <v>2841</v>
      </c>
      <c r="K9" s="12" t="s">
        <v>2842</v>
      </c>
      <c r="L9" s="12" t="s">
        <v>2843</v>
      </c>
    </row>
    <row r="10" spans="1:12" ht="37.5" x14ac:dyDescent="0.35">
      <c r="A10" s="12" t="s">
        <v>2671</v>
      </c>
      <c r="B10" s="12" t="s">
        <v>2844</v>
      </c>
      <c r="C10" s="12" t="s">
        <v>2845</v>
      </c>
      <c r="D10" s="12" t="s">
        <v>2846</v>
      </c>
      <c r="E10" s="12" t="s">
        <v>2847</v>
      </c>
      <c r="F10" s="12" t="s">
        <v>2848</v>
      </c>
      <c r="G10" s="12" t="s">
        <v>2849</v>
      </c>
      <c r="H10" s="12" t="s">
        <v>2850</v>
      </c>
      <c r="I10" s="12" t="s">
        <v>2851</v>
      </c>
      <c r="J10" s="12" t="s">
        <v>2852</v>
      </c>
      <c r="K10" s="12" t="s">
        <v>2853</v>
      </c>
      <c r="L10" s="12" t="s">
        <v>2854</v>
      </c>
    </row>
    <row r="11" spans="1:12" ht="25" x14ac:dyDescent="0.35">
      <c r="A11" s="12" t="s">
        <v>2718</v>
      </c>
      <c r="B11" s="12" t="s">
        <v>2716</v>
      </c>
      <c r="C11" s="12" t="s">
        <v>2855</v>
      </c>
      <c r="D11" s="12" t="s">
        <v>2856</v>
      </c>
      <c r="E11" s="12" t="s">
        <v>2857</v>
      </c>
      <c r="F11" s="12" t="s">
        <v>2858</v>
      </c>
      <c r="G11" s="12" t="s">
        <v>2859</v>
      </c>
      <c r="H11" s="12" t="s">
        <v>2860</v>
      </c>
      <c r="I11" s="12" t="s">
        <v>2861</v>
      </c>
      <c r="J11" s="12" t="s">
        <v>2862</v>
      </c>
      <c r="K11" s="12" t="s">
        <v>2863</v>
      </c>
      <c r="L11" s="12" t="s">
        <v>2864</v>
      </c>
    </row>
    <row r="12" spans="1:12" ht="25" x14ac:dyDescent="0.35">
      <c r="A12" s="12" t="s">
        <v>2663</v>
      </c>
      <c r="B12" s="12" t="s">
        <v>2865</v>
      </c>
      <c r="C12" s="12" t="s">
        <v>2866</v>
      </c>
      <c r="D12" s="12" t="s">
        <v>2867</v>
      </c>
      <c r="E12" s="12" t="s">
        <v>2868</v>
      </c>
      <c r="F12" s="12" t="s">
        <v>2869</v>
      </c>
      <c r="G12" s="12" t="s">
        <v>2870</v>
      </c>
      <c r="H12" s="12" t="s">
        <v>2871</v>
      </c>
      <c r="I12" s="12" t="s">
        <v>2872</v>
      </c>
      <c r="J12" s="12" t="s">
        <v>2873</v>
      </c>
      <c r="K12" s="12" t="s">
        <v>2874</v>
      </c>
      <c r="L12" s="12" t="s">
        <v>2875</v>
      </c>
    </row>
    <row r="13" spans="1:12" ht="25" x14ac:dyDescent="0.35">
      <c r="A13" s="12" t="s">
        <v>2667</v>
      </c>
      <c r="B13" s="12" t="s">
        <v>2736</v>
      </c>
      <c r="C13" s="12" t="s">
        <v>2876</v>
      </c>
      <c r="D13" s="12" t="s">
        <v>2877</v>
      </c>
      <c r="E13" s="12" t="s">
        <v>2878</v>
      </c>
      <c r="F13" s="12" t="s">
        <v>2879</v>
      </c>
      <c r="G13" s="12" t="s">
        <v>2880</v>
      </c>
      <c r="H13" s="12" t="s">
        <v>2881</v>
      </c>
      <c r="I13" s="12" t="s">
        <v>2882</v>
      </c>
      <c r="J13" s="12" t="s">
        <v>2883</v>
      </c>
      <c r="K13" s="12" t="s">
        <v>2884</v>
      </c>
      <c r="L13" s="12" t="s">
        <v>2885</v>
      </c>
    </row>
    <row r="14" spans="1:12" ht="37.5" x14ac:dyDescent="0.35">
      <c r="A14" s="12" t="s">
        <v>2886</v>
      </c>
      <c r="B14" s="12" t="s">
        <v>2887</v>
      </c>
      <c r="C14" s="12" t="s">
        <v>2888</v>
      </c>
      <c r="D14" s="12" t="s">
        <v>2889</v>
      </c>
      <c r="E14" s="12" t="s">
        <v>2890</v>
      </c>
      <c r="F14" s="12" t="s">
        <v>2891</v>
      </c>
      <c r="G14" s="12" t="s">
        <v>2892</v>
      </c>
      <c r="H14" s="12" t="s">
        <v>2893</v>
      </c>
      <c r="I14" s="12" t="s">
        <v>2894</v>
      </c>
      <c r="J14" s="12" t="s">
        <v>2895</v>
      </c>
      <c r="K14" s="12" t="s">
        <v>2896</v>
      </c>
      <c r="L14" s="12" t="s">
        <v>2897</v>
      </c>
    </row>
    <row r="15" spans="1:12" ht="25" x14ac:dyDescent="0.35">
      <c r="A15" s="12" t="s">
        <v>2898</v>
      </c>
      <c r="B15" s="12" t="s">
        <v>2899</v>
      </c>
      <c r="C15" s="12" t="s">
        <v>2900</v>
      </c>
      <c r="D15" s="12" t="s">
        <v>2901</v>
      </c>
      <c r="E15" s="12" t="s">
        <v>2902</v>
      </c>
      <c r="F15" s="12" t="s">
        <v>2903</v>
      </c>
      <c r="G15" s="12" t="s">
        <v>2904</v>
      </c>
      <c r="H15" s="12" t="s">
        <v>2905</v>
      </c>
      <c r="I15" s="12" t="s">
        <v>2906</v>
      </c>
      <c r="J15" s="12" t="s">
        <v>2907</v>
      </c>
      <c r="K15" s="12" t="s">
        <v>2908</v>
      </c>
      <c r="L15" s="12" t="s">
        <v>2909</v>
      </c>
    </row>
    <row r="16" spans="1:12" ht="37.5" x14ac:dyDescent="0.35">
      <c r="A16" s="12" t="s">
        <v>2910</v>
      </c>
      <c r="B16" s="12" t="s">
        <v>2911</v>
      </c>
      <c r="C16" s="12" t="s">
        <v>2912</v>
      </c>
      <c r="D16" s="12" t="s">
        <v>2913</v>
      </c>
      <c r="E16" s="12" t="s">
        <v>2914</v>
      </c>
      <c r="F16" s="12" t="s">
        <v>2915</v>
      </c>
      <c r="G16" s="12" t="s">
        <v>2916</v>
      </c>
      <c r="H16" s="12" t="s">
        <v>2917</v>
      </c>
      <c r="I16" s="12" t="s">
        <v>2918</v>
      </c>
      <c r="J16" s="12" t="s">
        <v>2919</v>
      </c>
      <c r="K16" s="12" t="s">
        <v>2920</v>
      </c>
      <c r="L16" s="12" t="s">
        <v>2921</v>
      </c>
    </row>
    <row r="17" spans="1:12" ht="37.5" x14ac:dyDescent="0.35">
      <c r="A17" s="12" t="s">
        <v>2724</v>
      </c>
      <c r="B17" s="12" t="s">
        <v>2922</v>
      </c>
      <c r="C17" s="12" t="s">
        <v>2923</v>
      </c>
      <c r="D17" s="12" t="s">
        <v>2924</v>
      </c>
      <c r="E17" s="12" t="s">
        <v>2925</v>
      </c>
      <c r="F17" s="12" t="s">
        <v>2926</v>
      </c>
      <c r="G17" s="12" t="s">
        <v>2927</v>
      </c>
      <c r="H17" s="12" t="s">
        <v>2928</v>
      </c>
      <c r="I17" s="12" t="s">
        <v>2929</v>
      </c>
      <c r="J17" s="12" t="s">
        <v>2930</v>
      </c>
      <c r="K17" s="12" t="s">
        <v>2931</v>
      </c>
      <c r="L17" s="12" t="s">
        <v>2932</v>
      </c>
    </row>
    <row r="18" spans="1:12" ht="25" x14ac:dyDescent="0.35">
      <c r="A18" s="12" t="s">
        <v>2732</v>
      </c>
      <c r="B18" s="12" t="s">
        <v>2731</v>
      </c>
      <c r="C18" s="12" t="s">
        <v>2933</v>
      </c>
      <c r="D18" s="12" t="s">
        <v>2934</v>
      </c>
      <c r="E18" s="12" t="s">
        <v>2935</v>
      </c>
      <c r="F18" s="12" t="s">
        <v>2936</v>
      </c>
      <c r="G18" s="12" t="s">
        <v>2937</v>
      </c>
      <c r="H18" s="12" t="s">
        <v>2938</v>
      </c>
      <c r="I18" s="12" t="s">
        <v>2939</v>
      </c>
      <c r="J18" s="12" t="s">
        <v>2940</v>
      </c>
      <c r="K18" s="12" t="s">
        <v>2941</v>
      </c>
      <c r="L18" s="12" t="s">
        <v>2942</v>
      </c>
    </row>
    <row r="19" spans="1:12" ht="25" x14ac:dyDescent="0.35">
      <c r="A19" s="12" t="s">
        <v>2943</v>
      </c>
      <c r="B19" s="12" t="s">
        <v>2944</v>
      </c>
      <c r="C19" s="12" t="s">
        <v>2945</v>
      </c>
      <c r="D19" s="12" t="s">
        <v>2946</v>
      </c>
      <c r="E19" s="12" t="s">
        <v>2947</v>
      </c>
      <c r="F19" s="12" t="s">
        <v>2948</v>
      </c>
      <c r="G19" s="12" t="s">
        <v>2949</v>
      </c>
      <c r="H19" s="12" t="s">
        <v>2950</v>
      </c>
      <c r="I19" s="12" t="s">
        <v>2951</v>
      </c>
      <c r="J19" s="12" t="s">
        <v>2952</v>
      </c>
      <c r="K19" s="12" t="s">
        <v>2953</v>
      </c>
      <c r="L19" s="12" t="s">
        <v>2954</v>
      </c>
    </row>
    <row r="20" spans="1:12" ht="25" x14ac:dyDescent="0.35">
      <c r="A20" s="12" t="s">
        <v>2955</v>
      </c>
      <c r="B20" s="12" t="s">
        <v>2956</v>
      </c>
      <c r="C20" s="12" t="s">
        <v>2957</v>
      </c>
      <c r="D20" s="12" t="s">
        <v>2958</v>
      </c>
      <c r="E20" s="12" t="s">
        <v>2959</v>
      </c>
      <c r="F20" s="12" t="s">
        <v>2960</v>
      </c>
      <c r="G20" s="12" t="s">
        <v>2961</v>
      </c>
      <c r="H20" s="12" t="s">
        <v>2962</v>
      </c>
      <c r="I20" s="12" t="s">
        <v>2963</v>
      </c>
      <c r="J20" s="12" t="s">
        <v>2964</v>
      </c>
      <c r="K20" s="12" t="s">
        <v>2965</v>
      </c>
      <c r="L20" s="12" t="s">
        <v>2966</v>
      </c>
    </row>
    <row r="22" spans="1:12" ht="39" customHeight="1" x14ac:dyDescent="0.35">
      <c r="A22" s="1" t="s">
        <v>2967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</sheetData>
  <autoFilter ref="A1:L20" xr:uid="{00000000-0009-0000-0000-000020000000}"/>
  <mergeCells count="1">
    <mergeCell ref="A22:L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B71C1C"/>
  </sheetPr>
  <dimension ref="A1:F27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2" width="30" customWidth="1"/>
    <col min="3" max="3" width="56" customWidth="1"/>
    <col min="4" max="5" width="44" customWidth="1"/>
    <col min="6" max="6" width="12" customWidth="1"/>
  </cols>
  <sheetData>
    <row r="1" spans="1:6" ht="27.75" customHeight="1" x14ac:dyDescent="0.35">
      <c r="A1" s="11" t="s">
        <v>2968</v>
      </c>
      <c r="B1" s="11" t="s">
        <v>2969</v>
      </c>
      <c r="C1" s="11" t="s">
        <v>472</v>
      </c>
      <c r="D1" s="11" t="s">
        <v>2970</v>
      </c>
      <c r="E1" s="11" t="s">
        <v>2971</v>
      </c>
      <c r="F1" s="11" t="s">
        <v>2972</v>
      </c>
    </row>
    <row r="2" spans="1:6" x14ac:dyDescent="0.35">
      <c r="A2" s="12" t="s">
        <v>432</v>
      </c>
      <c r="B2" s="12" t="s">
        <v>2973</v>
      </c>
      <c r="C2" s="12" t="s">
        <v>2974</v>
      </c>
      <c r="D2" s="12" t="s">
        <v>2975</v>
      </c>
      <c r="E2" s="12" t="s">
        <v>2976</v>
      </c>
      <c r="F2" s="12" t="s">
        <v>2977</v>
      </c>
    </row>
    <row r="3" spans="1:6" ht="25" x14ac:dyDescent="0.35">
      <c r="A3" s="12" t="s">
        <v>432</v>
      </c>
      <c r="B3" s="12" t="s">
        <v>2978</v>
      </c>
      <c r="C3" s="12" t="s">
        <v>2979</v>
      </c>
      <c r="D3" s="12" t="s">
        <v>2980</v>
      </c>
      <c r="E3" s="12" t="s">
        <v>2981</v>
      </c>
      <c r="F3" s="12" t="s">
        <v>2977</v>
      </c>
    </row>
    <row r="4" spans="1:6" x14ac:dyDescent="0.35">
      <c r="A4" s="12" t="s">
        <v>432</v>
      </c>
      <c r="B4" s="12" t="s">
        <v>2982</v>
      </c>
      <c r="C4" s="12" t="s">
        <v>2983</v>
      </c>
      <c r="D4" s="12" t="s">
        <v>2984</v>
      </c>
      <c r="E4" s="12" t="s">
        <v>2985</v>
      </c>
      <c r="F4" s="12" t="s">
        <v>2977</v>
      </c>
    </row>
    <row r="5" spans="1:6" x14ac:dyDescent="0.35">
      <c r="A5" s="12" t="s">
        <v>432</v>
      </c>
      <c r="B5" s="12" t="s">
        <v>2986</v>
      </c>
      <c r="C5" s="12" t="s">
        <v>2987</v>
      </c>
      <c r="D5" s="12" t="s">
        <v>2988</v>
      </c>
      <c r="E5" s="12" t="s">
        <v>2989</v>
      </c>
      <c r="F5" s="12" t="s">
        <v>2977</v>
      </c>
    </row>
    <row r="6" spans="1:6" x14ac:dyDescent="0.35">
      <c r="A6" s="12" t="s">
        <v>432</v>
      </c>
      <c r="B6" s="12" t="s">
        <v>2990</v>
      </c>
      <c r="C6" s="12" t="s">
        <v>2991</v>
      </c>
      <c r="D6" s="12" t="s">
        <v>2992</v>
      </c>
      <c r="E6" s="12" t="s">
        <v>2993</v>
      </c>
      <c r="F6" s="12" t="s">
        <v>2977</v>
      </c>
    </row>
    <row r="7" spans="1:6" x14ac:dyDescent="0.35">
      <c r="A7" s="12" t="s">
        <v>432</v>
      </c>
      <c r="B7" s="12" t="s">
        <v>2994</v>
      </c>
      <c r="C7" s="12" t="s">
        <v>2995</v>
      </c>
      <c r="D7" s="12" t="s">
        <v>2996</v>
      </c>
      <c r="E7" s="12" t="s">
        <v>2997</v>
      </c>
      <c r="F7" s="12" t="s">
        <v>2998</v>
      </c>
    </row>
    <row r="8" spans="1:6" x14ac:dyDescent="0.35">
      <c r="A8" s="12" t="s">
        <v>432</v>
      </c>
      <c r="B8" s="12" t="s">
        <v>2999</v>
      </c>
      <c r="C8" s="12" t="s">
        <v>3000</v>
      </c>
      <c r="D8" s="12" t="s">
        <v>3001</v>
      </c>
      <c r="E8" s="12" t="s">
        <v>3002</v>
      </c>
      <c r="F8" s="12" t="s">
        <v>3003</v>
      </c>
    </row>
    <row r="9" spans="1:6" x14ac:dyDescent="0.35">
      <c r="A9" s="12" t="s">
        <v>436</v>
      </c>
      <c r="B9" s="12" t="s">
        <v>3004</v>
      </c>
      <c r="C9" s="12" t="s">
        <v>3005</v>
      </c>
      <c r="D9" s="12" t="s">
        <v>3006</v>
      </c>
      <c r="E9" s="12" t="s">
        <v>3007</v>
      </c>
      <c r="F9" s="12" t="s">
        <v>2998</v>
      </c>
    </row>
    <row r="10" spans="1:6" x14ac:dyDescent="0.35">
      <c r="A10" s="12" t="s">
        <v>436</v>
      </c>
      <c r="B10" s="12" t="s">
        <v>3008</v>
      </c>
      <c r="C10" s="12" t="s">
        <v>3009</v>
      </c>
      <c r="D10" s="12" t="s">
        <v>3010</v>
      </c>
      <c r="E10" s="12" t="s">
        <v>3011</v>
      </c>
      <c r="F10" s="12" t="s">
        <v>3012</v>
      </c>
    </row>
    <row r="11" spans="1:6" x14ac:dyDescent="0.35">
      <c r="A11" s="12" t="s">
        <v>436</v>
      </c>
      <c r="B11" s="12" t="s">
        <v>3013</v>
      </c>
      <c r="C11" s="12" t="s">
        <v>3014</v>
      </c>
      <c r="D11" s="12" t="s">
        <v>3015</v>
      </c>
      <c r="E11" s="12" t="s">
        <v>3016</v>
      </c>
      <c r="F11" s="12" t="s">
        <v>3012</v>
      </c>
    </row>
    <row r="12" spans="1:6" x14ac:dyDescent="0.35">
      <c r="A12" s="12" t="s">
        <v>436</v>
      </c>
      <c r="B12" s="12" t="s">
        <v>3017</v>
      </c>
      <c r="C12" s="12" t="s">
        <v>3018</v>
      </c>
      <c r="D12" s="12" t="s">
        <v>3019</v>
      </c>
      <c r="E12" s="12" t="s">
        <v>3020</v>
      </c>
      <c r="F12" s="12" t="s">
        <v>3012</v>
      </c>
    </row>
    <row r="13" spans="1:6" ht="25" x14ac:dyDescent="0.35">
      <c r="A13" s="12" t="s">
        <v>436</v>
      </c>
      <c r="B13" s="12" t="s">
        <v>3021</v>
      </c>
      <c r="C13" s="12" t="s">
        <v>3022</v>
      </c>
      <c r="D13" s="12" t="s">
        <v>3023</v>
      </c>
      <c r="E13" s="12" t="s">
        <v>3024</v>
      </c>
      <c r="F13" s="12" t="s">
        <v>3012</v>
      </c>
    </row>
    <row r="14" spans="1:6" x14ac:dyDescent="0.35">
      <c r="A14" s="12" t="s">
        <v>436</v>
      </c>
      <c r="B14" s="12" t="s">
        <v>3025</v>
      </c>
      <c r="C14" s="12" t="s">
        <v>3026</v>
      </c>
      <c r="D14" s="12" t="s">
        <v>3027</v>
      </c>
      <c r="E14" s="12" t="s">
        <v>3028</v>
      </c>
      <c r="F14" s="12" t="s">
        <v>3012</v>
      </c>
    </row>
    <row r="15" spans="1:6" x14ac:dyDescent="0.35">
      <c r="A15" s="12" t="s">
        <v>436</v>
      </c>
      <c r="B15" s="12" t="s">
        <v>3029</v>
      </c>
      <c r="C15" s="12" t="s">
        <v>3030</v>
      </c>
      <c r="D15" s="12" t="s">
        <v>3031</v>
      </c>
      <c r="E15" s="12" t="s">
        <v>3032</v>
      </c>
      <c r="F15" s="12" t="s">
        <v>3033</v>
      </c>
    </row>
    <row r="16" spans="1:6" ht="25" x14ac:dyDescent="0.35">
      <c r="A16" s="12" t="s">
        <v>440</v>
      </c>
      <c r="B16" s="12" t="s">
        <v>3034</v>
      </c>
      <c r="C16" s="12" t="s">
        <v>3035</v>
      </c>
      <c r="D16" s="12" t="s">
        <v>3036</v>
      </c>
      <c r="E16" s="12" t="s">
        <v>3037</v>
      </c>
      <c r="F16" s="12" t="s">
        <v>3038</v>
      </c>
    </row>
    <row r="17" spans="1:6" x14ac:dyDescent="0.35">
      <c r="A17" s="12" t="s">
        <v>440</v>
      </c>
      <c r="B17" s="12" t="s">
        <v>3039</v>
      </c>
      <c r="C17" s="12" t="s">
        <v>3040</v>
      </c>
      <c r="D17" s="12" t="s">
        <v>3041</v>
      </c>
      <c r="E17" s="12" t="s">
        <v>3042</v>
      </c>
      <c r="F17" s="12" t="s">
        <v>3043</v>
      </c>
    </row>
    <row r="18" spans="1:6" x14ac:dyDescent="0.35">
      <c r="A18" s="12" t="s">
        <v>440</v>
      </c>
      <c r="B18" s="12" t="s">
        <v>3044</v>
      </c>
      <c r="C18" s="12" t="s">
        <v>3045</v>
      </c>
      <c r="D18" s="12" t="s">
        <v>3046</v>
      </c>
      <c r="E18" s="12" t="s">
        <v>3047</v>
      </c>
      <c r="F18" s="12" t="s">
        <v>3048</v>
      </c>
    </row>
    <row r="19" spans="1:6" x14ac:dyDescent="0.35">
      <c r="A19" s="12" t="s">
        <v>440</v>
      </c>
      <c r="B19" s="12" t="s">
        <v>3049</v>
      </c>
      <c r="C19" s="12" t="s">
        <v>3050</v>
      </c>
      <c r="D19" s="12" t="s">
        <v>3051</v>
      </c>
      <c r="E19" s="12" t="s">
        <v>3052</v>
      </c>
      <c r="F19" s="12" t="s">
        <v>3043</v>
      </c>
    </row>
    <row r="20" spans="1:6" x14ac:dyDescent="0.35">
      <c r="A20" s="12" t="s">
        <v>440</v>
      </c>
      <c r="B20" s="12" t="s">
        <v>3053</v>
      </c>
      <c r="C20" s="12" t="s">
        <v>3054</v>
      </c>
      <c r="D20" s="12" t="s">
        <v>3055</v>
      </c>
      <c r="E20" s="12" t="s">
        <v>3056</v>
      </c>
      <c r="F20" s="12" t="s">
        <v>3048</v>
      </c>
    </row>
    <row r="21" spans="1:6" x14ac:dyDescent="0.35">
      <c r="A21" s="12" t="s">
        <v>444</v>
      </c>
      <c r="B21" s="12" t="s">
        <v>3057</v>
      </c>
      <c r="C21" s="12" t="s">
        <v>3058</v>
      </c>
      <c r="D21" s="12" t="s">
        <v>3059</v>
      </c>
      <c r="E21" s="12" t="s">
        <v>3060</v>
      </c>
      <c r="F21" s="12" t="s">
        <v>3003</v>
      </c>
    </row>
    <row r="22" spans="1:6" x14ac:dyDescent="0.35">
      <c r="A22" s="12" t="s">
        <v>444</v>
      </c>
      <c r="B22" s="12" t="s">
        <v>3061</v>
      </c>
      <c r="C22" s="12" t="s">
        <v>3062</v>
      </c>
      <c r="D22" s="12" t="s">
        <v>3063</v>
      </c>
      <c r="E22" s="12" t="s">
        <v>3064</v>
      </c>
      <c r="F22" s="12" t="s">
        <v>3065</v>
      </c>
    </row>
    <row r="23" spans="1:6" ht="25" x14ac:dyDescent="0.35">
      <c r="A23" s="12" t="s">
        <v>444</v>
      </c>
      <c r="B23" s="12" t="s">
        <v>3066</v>
      </c>
      <c r="C23" s="12" t="s">
        <v>3067</v>
      </c>
      <c r="D23" s="12" t="s">
        <v>3068</v>
      </c>
      <c r="E23" s="12" t="s">
        <v>3069</v>
      </c>
      <c r="F23" s="12" t="s">
        <v>3065</v>
      </c>
    </row>
    <row r="24" spans="1:6" x14ac:dyDescent="0.35">
      <c r="A24" s="12" t="s">
        <v>444</v>
      </c>
      <c r="B24" s="12" t="s">
        <v>3070</v>
      </c>
      <c r="C24" s="12" t="s">
        <v>3071</v>
      </c>
      <c r="D24" s="12" t="s">
        <v>3072</v>
      </c>
      <c r="E24" s="12" t="s">
        <v>3073</v>
      </c>
      <c r="F24" s="12" t="s">
        <v>3065</v>
      </c>
    </row>
    <row r="25" spans="1:6" ht="25" x14ac:dyDescent="0.35">
      <c r="A25" s="12" t="s">
        <v>444</v>
      </c>
      <c r="B25" s="12" t="s">
        <v>3074</v>
      </c>
      <c r="C25" s="12" t="s">
        <v>3075</v>
      </c>
      <c r="D25" s="12" t="s">
        <v>3076</v>
      </c>
      <c r="E25" s="12" t="s">
        <v>3077</v>
      </c>
      <c r="F25" s="12" t="s">
        <v>3078</v>
      </c>
    </row>
    <row r="27" spans="1:6" ht="39" customHeight="1" x14ac:dyDescent="0.35">
      <c r="A27" s="1" t="s">
        <v>3079</v>
      </c>
      <c r="B27" s="1"/>
      <c r="C27" s="1"/>
      <c r="D27" s="1"/>
      <c r="E27" s="1"/>
      <c r="F27" s="1"/>
    </row>
  </sheetData>
  <autoFilter ref="A1:F25" xr:uid="{00000000-0009-0000-0000-000021000000}"/>
  <mergeCells count="1">
    <mergeCell ref="A27:F27"/>
  </mergeCells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B71C1C"/>
  </sheetPr>
  <dimension ref="A1:H17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1" customWidth="1"/>
    <col min="2" max="2" width="26" customWidth="1"/>
    <col min="3" max="3" width="54" customWidth="1"/>
    <col min="4" max="5" width="40" customWidth="1"/>
    <col min="6" max="6" width="34" customWidth="1"/>
    <col min="7" max="7" width="46" customWidth="1"/>
    <col min="8" max="8" width="38" customWidth="1"/>
  </cols>
  <sheetData>
    <row r="1" spans="1:8" ht="27.75" customHeight="1" x14ac:dyDescent="0.35">
      <c r="A1" s="11" t="s">
        <v>834</v>
      </c>
      <c r="B1" s="11" t="s">
        <v>2969</v>
      </c>
      <c r="C1" s="11" t="s">
        <v>472</v>
      </c>
      <c r="D1" s="11" t="s">
        <v>3080</v>
      </c>
      <c r="E1" s="11" t="s">
        <v>3081</v>
      </c>
      <c r="F1" s="11" t="s">
        <v>3082</v>
      </c>
      <c r="G1" s="11" t="s">
        <v>3083</v>
      </c>
      <c r="H1" s="11" t="s">
        <v>3084</v>
      </c>
    </row>
    <row r="2" spans="1:8" ht="25" x14ac:dyDescent="0.35">
      <c r="A2" s="12" t="s">
        <v>2977</v>
      </c>
      <c r="B2" s="12" t="s">
        <v>3085</v>
      </c>
      <c r="C2" s="12" t="s">
        <v>3086</v>
      </c>
      <c r="D2" s="12" t="s">
        <v>3087</v>
      </c>
      <c r="E2" s="12" t="s">
        <v>3088</v>
      </c>
      <c r="F2" s="12" t="s">
        <v>3089</v>
      </c>
      <c r="G2" s="12" t="s">
        <v>3090</v>
      </c>
      <c r="H2" s="12" t="s">
        <v>3091</v>
      </c>
    </row>
    <row r="3" spans="1:8" ht="25" x14ac:dyDescent="0.35">
      <c r="A3" s="12" t="s">
        <v>2998</v>
      </c>
      <c r="B3" s="12" t="s">
        <v>3092</v>
      </c>
      <c r="C3" s="12" t="s">
        <v>3093</v>
      </c>
      <c r="D3" s="12" t="s">
        <v>3094</v>
      </c>
      <c r="E3" s="12" t="s">
        <v>3095</v>
      </c>
      <c r="F3" s="12" t="s">
        <v>3096</v>
      </c>
      <c r="G3" s="12" t="s">
        <v>3097</v>
      </c>
      <c r="H3" s="12" t="s">
        <v>3098</v>
      </c>
    </row>
    <row r="4" spans="1:8" ht="37.5" x14ac:dyDescent="0.35">
      <c r="A4" s="12" t="s">
        <v>3012</v>
      </c>
      <c r="B4" s="12" t="s">
        <v>3099</v>
      </c>
      <c r="C4" s="12" t="s">
        <v>3100</v>
      </c>
      <c r="D4" s="12" t="s">
        <v>3101</v>
      </c>
      <c r="E4" s="12" t="s">
        <v>3102</v>
      </c>
      <c r="F4" s="12" t="s">
        <v>3103</v>
      </c>
      <c r="G4" s="12" t="s">
        <v>3104</v>
      </c>
      <c r="H4" s="12" t="s">
        <v>3105</v>
      </c>
    </row>
    <row r="5" spans="1:8" ht="25" x14ac:dyDescent="0.35">
      <c r="A5" s="12" t="s">
        <v>3043</v>
      </c>
      <c r="B5" s="12" t="s">
        <v>3106</v>
      </c>
      <c r="C5" s="12" t="s">
        <v>3107</v>
      </c>
      <c r="D5" s="12" t="s">
        <v>3108</v>
      </c>
      <c r="E5" s="12" t="s">
        <v>3109</v>
      </c>
      <c r="F5" s="12" t="s">
        <v>3110</v>
      </c>
      <c r="G5" s="12" t="s">
        <v>3111</v>
      </c>
      <c r="H5" s="12" t="s">
        <v>3112</v>
      </c>
    </row>
    <row r="6" spans="1:8" x14ac:dyDescent="0.35">
      <c r="A6" s="12" t="s">
        <v>3048</v>
      </c>
      <c r="B6" s="12" t="s">
        <v>3113</v>
      </c>
      <c r="C6" s="12" t="s">
        <v>3114</v>
      </c>
      <c r="D6" s="12" t="s">
        <v>3115</v>
      </c>
      <c r="E6" s="12" t="s">
        <v>3116</v>
      </c>
      <c r="F6" s="12" t="s">
        <v>3117</v>
      </c>
      <c r="G6" s="12" t="s">
        <v>3118</v>
      </c>
      <c r="H6" s="12" t="s">
        <v>3119</v>
      </c>
    </row>
    <row r="7" spans="1:8" ht="25" x14ac:dyDescent="0.35">
      <c r="A7" s="12" t="s">
        <v>3003</v>
      </c>
      <c r="B7" s="12" t="s">
        <v>3120</v>
      </c>
      <c r="C7" s="12" t="s">
        <v>3121</v>
      </c>
      <c r="D7" s="12" t="s">
        <v>3122</v>
      </c>
      <c r="E7" s="12" t="s">
        <v>3123</v>
      </c>
      <c r="F7" s="12" t="s">
        <v>3124</v>
      </c>
      <c r="G7" s="12" t="s">
        <v>3125</v>
      </c>
      <c r="H7" s="12" t="s">
        <v>3126</v>
      </c>
    </row>
    <row r="8" spans="1:8" ht="25" x14ac:dyDescent="0.35">
      <c r="A8" s="12" t="s">
        <v>3065</v>
      </c>
      <c r="B8" s="12" t="s">
        <v>3127</v>
      </c>
      <c r="C8" s="12" t="s">
        <v>3128</v>
      </c>
      <c r="D8" s="12" t="s">
        <v>3129</v>
      </c>
      <c r="E8" s="12" t="s">
        <v>3130</v>
      </c>
      <c r="F8" s="12" t="s">
        <v>3131</v>
      </c>
      <c r="G8" s="12" t="s">
        <v>3132</v>
      </c>
      <c r="H8" s="12" t="s">
        <v>3133</v>
      </c>
    </row>
    <row r="9" spans="1:8" ht="25" x14ac:dyDescent="0.35">
      <c r="A9" s="12" t="s">
        <v>3078</v>
      </c>
      <c r="B9" s="12" t="s">
        <v>3134</v>
      </c>
      <c r="C9" s="12" t="s">
        <v>3135</v>
      </c>
      <c r="D9" s="12" t="s">
        <v>3136</v>
      </c>
      <c r="E9" s="12" t="s">
        <v>3137</v>
      </c>
      <c r="F9" s="12" t="s">
        <v>3138</v>
      </c>
      <c r="G9" s="12" t="s">
        <v>3139</v>
      </c>
      <c r="H9" s="12" t="s">
        <v>3140</v>
      </c>
    </row>
    <row r="10" spans="1:8" ht="25" x14ac:dyDescent="0.35">
      <c r="A10" s="12" t="s">
        <v>3141</v>
      </c>
      <c r="B10" s="12" t="s">
        <v>3142</v>
      </c>
      <c r="C10" s="12" t="s">
        <v>3143</v>
      </c>
      <c r="D10" s="12" t="s">
        <v>3144</v>
      </c>
      <c r="E10" s="12" t="s">
        <v>3145</v>
      </c>
      <c r="F10" s="12" t="s">
        <v>3146</v>
      </c>
      <c r="G10" s="12" t="s">
        <v>3147</v>
      </c>
      <c r="H10" s="12" t="s">
        <v>3148</v>
      </c>
    </row>
    <row r="11" spans="1:8" ht="25" x14ac:dyDescent="0.35">
      <c r="A11" s="12" t="s">
        <v>3033</v>
      </c>
      <c r="B11" s="12" t="s">
        <v>3149</v>
      </c>
      <c r="C11" s="12" t="s">
        <v>3150</v>
      </c>
      <c r="D11" s="12" t="s">
        <v>3151</v>
      </c>
      <c r="E11" s="12" t="s">
        <v>3152</v>
      </c>
      <c r="F11" s="12" t="s">
        <v>3153</v>
      </c>
      <c r="G11" s="12" t="s">
        <v>3154</v>
      </c>
      <c r="H11" s="12" t="s">
        <v>3155</v>
      </c>
    </row>
    <row r="12" spans="1:8" ht="25" x14ac:dyDescent="0.35">
      <c r="A12" s="12" t="s">
        <v>3156</v>
      </c>
      <c r="B12" s="12" t="s">
        <v>3157</v>
      </c>
      <c r="C12" s="12" t="s">
        <v>3158</v>
      </c>
      <c r="D12" s="12" t="s">
        <v>3159</v>
      </c>
      <c r="E12" s="12" t="s">
        <v>3160</v>
      </c>
      <c r="F12" s="12" t="s">
        <v>3161</v>
      </c>
      <c r="G12" s="12" t="s">
        <v>3162</v>
      </c>
      <c r="H12" s="12" t="s">
        <v>3163</v>
      </c>
    </row>
    <row r="13" spans="1:8" ht="25" x14ac:dyDescent="0.35">
      <c r="A13" s="12" t="s">
        <v>3164</v>
      </c>
      <c r="B13" s="12" t="s">
        <v>3165</v>
      </c>
      <c r="C13" s="12" t="s">
        <v>3166</v>
      </c>
      <c r="D13" s="12" t="s">
        <v>3167</v>
      </c>
      <c r="E13" s="12" t="s">
        <v>3168</v>
      </c>
      <c r="F13" s="12" t="s">
        <v>3169</v>
      </c>
      <c r="G13" s="12" t="s">
        <v>3170</v>
      </c>
      <c r="H13" s="12" t="s">
        <v>3171</v>
      </c>
    </row>
    <row r="14" spans="1:8" ht="25" x14ac:dyDescent="0.35">
      <c r="A14" s="12" t="s">
        <v>3172</v>
      </c>
      <c r="B14" s="12" t="s">
        <v>3173</v>
      </c>
      <c r="C14" s="12" t="s">
        <v>3174</v>
      </c>
      <c r="D14" s="12" t="s">
        <v>3175</v>
      </c>
      <c r="E14" s="12" t="s">
        <v>3176</v>
      </c>
      <c r="F14" s="12" t="s">
        <v>3177</v>
      </c>
      <c r="G14" s="12" t="s">
        <v>3178</v>
      </c>
      <c r="H14" s="12" t="s">
        <v>3179</v>
      </c>
    </row>
    <row r="15" spans="1:8" ht="25" x14ac:dyDescent="0.35">
      <c r="A15" s="12" t="s">
        <v>3180</v>
      </c>
      <c r="B15" s="12" t="s">
        <v>3181</v>
      </c>
      <c r="C15" s="12" t="s">
        <v>3182</v>
      </c>
      <c r="D15" s="12" t="s">
        <v>3183</v>
      </c>
      <c r="E15" s="12" t="s">
        <v>3184</v>
      </c>
      <c r="F15" s="12" t="s">
        <v>3185</v>
      </c>
      <c r="G15" s="12" t="s">
        <v>3186</v>
      </c>
      <c r="H15" s="12" t="s">
        <v>3187</v>
      </c>
    </row>
    <row r="17" spans="1:8" ht="27.75" customHeight="1" x14ac:dyDescent="0.35">
      <c r="A17" s="1" t="s">
        <v>3188</v>
      </c>
      <c r="B17" s="1"/>
      <c r="C17" s="1"/>
      <c r="D17" s="1"/>
      <c r="E17" s="1"/>
      <c r="F17" s="1"/>
      <c r="G17" s="1"/>
      <c r="H17" s="1"/>
    </row>
  </sheetData>
  <autoFilter ref="A1:H15" xr:uid="{00000000-0009-0000-0000-000022000000}"/>
  <mergeCells count="1">
    <mergeCell ref="A17:H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B71C1C"/>
  </sheetPr>
  <dimension ref="A1:H22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1" customWidth="1"/>
    <col min="2" max="2" width="22" customWidth="1"/>
    <col min="3" max="3" width="32" customWidth="1"/>
    <col min="4" max="4" width="56" customWidth="1"/>
    <col min="5" max="5" width="22" customWidth="1"/>
    <col min="6" max="6" width="26" customWidth="1"/>
    <col min="7" max="7" width="44" customWidth="1"/>
    <col min="8" max="8" width="10" customWidth="1"/>
  </cols>
  <sheetData>
    <row r="1" spans="1:8" ht="27.75" customHeight="1" x14ac:dyDescent="0.35">
      <c r="A1" s="11" t="s">
        <v>3189</v>
      </c>
      <c r="B1" s="11" t="s">
        <v>138</v>
      </c>
      <c r="C1" s="11" t="s">
        <v>3190</v>
      </c>
      <c r="D1" s="11" t="s">
        <v>3191</v>
      </c>
      <c r="E1" s="11" t="s">
        <v>3192</v>
      </c>
      <c r="F1" s="11" t="s">
        <v>3193</v>
      </c>
      <c r="G1" s="11" t="s">
        <v>3194</v>
      </c>
      <c r="H1" s="11" t="s">
        <v>3195</v>
      </c>
    </row>
    <row r="2" spans="1:8" x14ac:dyDescent="0.35">
      <c r="A2" s="12" t="s">
        <v>3196</v>
      </c>
      <c r="B2" s="12" t="s">
        <v>3197</v>
      </c>
      <c r="C2" s="12" t="s">
        <v>3198</v>
      </c>
      <c r="D2" s="12" t="s">
        <v>3199</v>
      </c>
      <c r="E2" s="12" t="s">
        <v>3200</v>
      </c>
      <c r="F2" s="12" t="s">
        <v>3201</v>
      </c>
      <c r="G2" s="12" t="s">
        <v>3202</v>
      </c>
      <c r="H2" s="12" t="s">
        <v>3203</v>
      </c>
    </row>
    <row r="3" spans="1:8" x14ac:dyDescent="0.35">
      <c r="A3" s="12" t="s">
        <v>3204</v>
      </c>
      <c r="B3" s="12" t="s">
        <v>2750</v>
      </c>
      <c r="C3" s="12" t="s">
        <v>3205</v>
      </c>
      <c r="D3" s="12" t="s">
        <v>3206</v>
      </c>
      <c r="E3" s="12" t="s">
        <v>3207</v>
      </c>
      <c r="F3" s="12" t="s">
        <v>3208</v>
      </c>
      <c r="G3" s="12" t="s">
        <v>3209</v>
      </c>
      <c r="H3" s="12" t="s">
        <v>3203</v>
      </c>
    </row>
    <row r="4" spans="1:8" ht="25" x14ac:dyDescent="0.35">
      <c r="A4" s="12" t="s">
        <v>3210</v>
      </c>
      <c r="B4" s="12" t="s">
        <v>2750</v>
      </c>
      <c r="C4" s="12" t="s">
        <v>3211</v>
      </c>
      <c r="D4" s="12" t="s">
        <v>3212</v>
      </c>
      <c r="E4" s="12" t="s">
        <v>3213</v>
      </c>
      <c r="F4" s="12" t="s">
        <v>3214</v>
      </c>
      <c r="G4" s="12" t="s">
        <v>3215</v>
      </c>
      <c r="H4" s="12" t="s">
        <v>3203</v>
      </c>
    </row>
    <row r="5" spans="1:8" x14ac:dyDescent="0.35">
      <c r="A5" s="12" t="s">
        <v>3216</v>
      </c>
      <c r="B5" s="12" t="s">
        <v>3217</v>
      </c>
      <c r="C5" s="12" t="s">
        <v>3218</v>
      </c>
      <c r="D5" s="12" t="s">
        <v>3219</v>
      </c>
      <c r="E5" s="12" t="s">
        <v>3220</v>
      </c>
      <c r="F5" s="12" t="s">
        <v>3221</v>
      </c>
      <c r="G5" s="12" t="s">
        <v>3222</v>
      </c>
      <c r="H5" s="12" t="s">
        <v>3203</v>
      </c>
    </row>
    <row r="6" spans="1:8" ht="25" x14ac:dyDescent="0.35">
      <c r="A6" s="12" t="s">
        <v>3223</v>
      </c>
      <c r="B6" s="12" t="s">
        <v>3217</v>
      </c>
      <c r="C6" s="12" t="s">
        <v>3224</v>
      </c>
      <c r="D6" s="12" t="s">
        <v>3225</v>
      </c>
      <c r="E6" s="12" t="s">
        <v>3226</v>
      </c>
      <c r="F6" s="12" t="s">
        <v>3227</v>
      </c>
      <c r="G6" s="12" t="s">
        <v>3228</v>
      </c>
      <c r="H6" s="12" t="s">
        <v>3203</v>
      </c>
    </row>
    <row r="7" spans="1:8" ht="25" x14ac:dyDescent="0.35">
      <c r="A7" s="12" t="s">
        <v>3229</v>
      </c>
      <c r="B7" s="12" t="s">
        <v>3217</v>
      </c>
      <c r="C7" s="12" t="s">
        <v>3230</v>
      </c>
      <c r="D7" s="12" t="s">
        <v>3231</v>
      </c>
      <c r="E7" s="12" t="s">
        <v>3232</v>
      </c>
      <c r="F7" s="12" t="s">
        <v>3233</v>
      </c>
      <c r="G7" s="12" t="s">
        <v>3234</v>
      </c>
      <c r="H7" s="12" t="s">
        <v>3203</v>
      </c>
    </row>
    <row r="8" spans="1:8" x14ac:dyDescent="0.35">
      <c r="A8" s="12" t="s">
        <v>3235</v>
      </c>
      <c r="B8" s="12" t="s">
        <v>3236</v>
      </c>
      <c r="C8" s="12" t="s">
        <v>3237</v>
      </c>
      <c r="D8" s="12" t="s">
        <v>3238</v>
      </c>
      <c r="E8" s="12" t="s">
        <v>3239</v>
      </c>
      <c r="F8" s="12" t="s">
        <v>3240</v>
      </c>
      <c r="G8" s="12" t="s">
        <v>3241</v>
      </c>
      <c r="H8" s="12" t="s">
        <v>3203</v>
      </c>
    </row>
    <row r="9" spans="1:8" ht="25" x14ac:dyDescent="0.35">
      <c r="A9" s="12" t="s">
        <v>3242</v>
      </c>
      <c r="B9" s="12" t="s">
        <v>3236</v>
      </c>
      <c r="C9" s="12" t="s">
        <v>3243</v>
      </c>
      <c r="D9" s="12" t="s">
        <v>3244</v>
      </c>
      <c r="E9" s="12" t="s">
        <v>3245</v>
      </c>
      <c r="F9" s="12" t="s">
        <v>3214</v>
      </c>
      <c r="G9" s="12" t="s">
        <v>3246</v>
      </c>
      <c r="H9" s="12" t="s">
        <v>3247</v>
      </c>
    </row>
    <row r="10" spans="1:8" x14ac:dyDescent="0.35">
      <c r="A10" s="12" t="s">
        <v>3248</v>
      </c>
      <c r="B10" s="12" t="s">
        <v>3249</v>
      </c>
      <c r="C10" s="12" t="s">
        <v>3250</v>
      </c>
      <c r="D10" s="12" t="s">
        <v>3251</v>
      </c>
      <c r="E10" s="12" t="s">
        <v>3252</v>
      </c>
      <c r="F10" s="12" t="s">
        <v>3214</v>
      </c>
      <c r="G10" s="12" t="s">
        <v>3253</v>
      </c>
      <c r="H10" s="12" t="s">
        <v>3203</v>
      </c>
    </row>
    <row r="11" spans="1:8" x14ac:dyDescent="0.35">
      <c r="A11" s="12" t="s">
        <v>3254</v>
      </c>
      <c r="B11" s="12" t="s">
        <v>3255</v>
      </c>
      <c r="C11" s="12" t="s">
        <v>3256</v>
      </c>
      <c r="D11" s="12" t="s">
        <v>3257</v>
      </c>
      <c r="E11" s="12" t="s">
        <v>3258</v>
      </c>
      <c r="F11" s="12" t="s">
        <v>3214</v>
      </c>
      <c r="G11" s="12" t="s">
        <v>3259</v>
      </c>
      <c r="H11" s="12" t="s">
        <v>3203</v>
      </c>
    </row>
    <row r="12" spans="1:8" x14ac:dyDescent="0.35">
      <c r="A12" s="12" t="s">
        <v>3260</v>
      </c>
      <c r="B12" s="12" t="s">
        <v>3255</v>
      </c>
      <c r="C12" s="12" t="s">
        <v>3261</v>
      </c>
      <c r="D12" s="12" t="s">
        <v>3262</v>
      </c>
      <c r="E12" s="12" t="s">
        <v>3245</v>
      </c>
      <c r="F12" s="12" t="s">
        <v>3221</v>
      </c>
      <c r="G12" s="12" t="s">
        <v>3263</v>
      </c>
      <c r="H12" s="12" t="s">
        <v>3264</v>
      </c>
    </row>
    <row r="13" spans="1:8" ht="25" x14ac:dyDescent="0.35">
      <c r="A13" s="12" t="s">
        <v>3265</v>
      </c>
      <c r="B13" s="12" t="s">
        <v>3266</v>
      </c>
      <c r="C13" s="12" t="s">
        <v>3267</v>
      </c>
      <c r="D13" s="12" t="s">
        <v>3268</v>
      </c>
      <c r="E13" s="12" t="s">
        <v>3269</v>
      </c>
      <c r="F13" s="12" t="s">
        <v>3270</v>
      </c>
      <c r="G13" s="12" t="s">
        <v>3271</v>
      </c>
      <c r="H13" s="12" t="s">
        <v>3203</v>
      </c>
    </row>
    <row r="14" spans="1:8" ht="25" x14ac:dyDescent="0.35">
      <c r="A14" s="12" t="s">
        <v>3272</v>
      </c>
      <c r="B14" s="12" t="s">
        <v>3266</v>
      </c>
      <c r="C14" s="12" t="s">
        <v>3273</v>
      </c>
      <c r="D14" s="12" t="s">
        <v>3274</v>
      </c>
      <c r="E14" s="12" t="s">
        <v>3245</v>
      </c>
      <c r="F14" s="12" t="s">
        <v>1299</v>
      </c>
      <c r="G14" s="12" t="s">
        <v>3275</v>
      </c>
      <c r="H14" s="12" t="s">
        <v>3203</v>
      </c>
    </row>
    <row r="15" spans="1:8" ht="25" x14ac:dyDescent="0.35">
      <c r="A15" s="12" t="s">
        <v>3276</v>
      </c>
      <c r="B15" s="12" t="s">
        <v>3277</v>
      </c>
      <c r="C15" s="12" t="s">
        <v>805</v>
      </c>
      <c r="D15" s="12" t="s">
        <v>3278</v>
      </c>
      <c r="E15" s="12" t="s">
        <v>3279</v>
      </c>
      <c r="F15" s="12" t="s">
        <v>3280</v>
      </c>
      <c r="G15" s="12" t="s">
        <v>3281</v>
      </c>
      <c r="H15" s="12" t="s">
        <v>3203</v>
      </c>
    </row>
    <row r="16" spans="1:8" x14ac:dyDescent="0.35">
      <c r="A16" s="12" t="s">
        <v>3282</v>
      </c>
      <c r="B16" s="12" t="s">
        <v>3277</v>
      </c>
      <c r="C16" s="12" t="s">
        <v>3283</v>
      </c>
      <c r="D16" s="12" t="s">
        <v>3284</v>
      </c>
      <c r="E16" s="12" t="s">
        <v>3285</v>
      </c>
      <c r="F16" s="12" t="s">
        <v>458</v>
      </c>
      <c r="G16" s="12" t="s">
        <v>3286</v>
      </c>
      <c r="H16" s="12" t="s">
        <v>3203</v>
      </c>
    </row>
    <row r="17" spans="1:8" ht="25" x14ac:dyDescent="0.35">
      <c r="A17" s="12" t="s">
        <v>3287</v>
      </c>
      <c r="B17" s="12" t="s">
        <v>3288</v>
      </c>
      <c r="C17" s="12" t="s">
        <v>3289</v>
      </c>
      <c r="D17" s="12" t="s">
        <v>3290</v>
      </c>
      <c r="E17" s="12" t="s">
        <v>3291</v>
      </c>
      <c r="F17" s="12" t="s">
        <v>3292</v>
      </c>
      <c r="G17" s="12" t="s">
        <v>3293</v>
      </c>
      <c r="H17" s="12" t="s">
        <v>3264</v>
      </c>
    </row>
    <row r="18" spans="1:8" x14ac:dyDescent="0.35">
      <c r="A18" s="12" t="s">
        <v>3294</v>
      </c>
      <c r="B18" s="12" t="s">
        <v>3288</v>
      </c>
      <c r="C18" s="12" t="s">
        <v>3295</v>
      </c>
      <c r="D18" s="12" t="s">
        <v>3296</v>
      </c>
      <c r="E18" s="12" t="s">
        <v>3297</v>
      </c>
      <c r="F18" s="12" t="s">
        <v>3292</v>
      </c>
      <c r="G18" s="12" t="s">
        <v>3298</v>
      </c>
      <c r="H18" s="12" t="s">
        <v>3264</v>
      </c>
    </row>
    <row r="19" spans="1:8" x14ac:dyDescent="0.35">
      <c r="A19" s="12" t="s">
        <v>3299</v>
      </c>
      <c r="B19" s="12" t="s">
        <v>3300</v>
      </c>
      <c r="C19" s="12" t="s">
        <v>3301</v>
      </c>
      <c r="D19" s="12" t="s">
        <v>3302</v>
      </c>
      <c r="E19" s="12" t="s">
        <v>3303</v>
      </c>
      <c r="F19" s="12" t="s">
        <v>3304</v>
      </c>
      <c r="G19" s="12" t="s">
        <v>3305</v>
      </c>
      <c r="H19" s="12" t="s">
        <v>3203</v>
      </c>
    </row>
    <row r="20" spans="1:8" ht="25" x14ac:dyDescent="0.35">
      <c r="A20" s="12" t="s">
        <v>3306</v>
      </c>
      <c r="B20" s="12" t="s">
        <v>3307</v>
      </c>
      <c r="C20" s="12" t="s">
        <v>3308</v>
      </c>
      <c r="D20" s="12" t="s">
        <v>3309</v>
      </c>
      <c r="E20" s="12" t="s">
        <v>3310</v>
      </c>
      <c r="F20" s="12" t="s">
        <v>3311</v>
      </c>
      <c r="G20" s="12" t="s">
        <v>3312</v>
      </c>
      <c r="H20" s="12" t="s">
        <v>3203</v>
      </c>
    </row>
    <row r="22" spans="1:8" ht="27.75" customHeight="1" x14ac:dyDescent="0.35">
      <c r="A22" s="1" t="s">
        <v>3313</v>
      </c>
      <c r="B22" s="1"/>
      <c r="C22" s="1"/>
      <c r="D22" s="1"/>
      <c r="E22" s="1"/>
      <c r="F22" s="1"/>
      <c r="G22" s="1"/>
      <c r="H22" s="1"/>
    </row>
  </sheetData>
  <autoFilter ref="A1:H20" xr:uid="{00000000-0009-0000-0000-000023000000}"/>
  <mergeCells count="1">
    <mergeCell ref="A22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B71C1C"/>
  </sheetPr>
  <dimension ref="A1:J1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0" customWidth="1"/>
    <col min="2" max="2" width="10" customWidth="1"/>
    <col min="3" max="3" width="22" customWidth="1"/>
    <col min="4" max="4" width="30" customWidth="1"/>
    <col min="5" max="5" width="40" customWidth="1"/>
    <col min="6" max="7" width="30" customWidth="1"/>
    <col min="8" max="8" width="52" customWidth="1"/>
    <col min="9" max="9" width="10" customWidth="1"/>
    <col min="10" max="10" width="12" customWidth="1"/>
  </cols>
  <sheetData>
    <row r="1" spans="1:10" ht="27.75" customHeight="1" x14ac:dyDescent="0.35">
      <c r="A1" s="11" t="s">
        <v>264</v>
      </c>
      <c r="B1" s="11" t="s">
        <v>3314</v>
      </c>
      <c r="C1" s="11" t="s">
        <v>3315</v>
      </c>
      <c r="D1" s="11" t="s">
        <v>3316</v>
      </c>
      <c r="E1" s="11" t="s">
        <v>3317</v>
      </c>
      <c r="F1" s="11" t="s">
        <v>3318</v>
      </c>
      <c r="G1" s="11" t="s">
        <v>3319</v>
      </c>
      <c r="H1" s="11" t="s">
        <v>3320</v>
      </c>
      <c r="I1" s="11" t="s">
        <v>385</v>
      </c>
      <c r="J1" s="11" t="s">
        <v>254</v>
      </c>
    </row>
    <row r="2" spans="1:10" x14ac:dyDescent="0.35">
      <c r="A2" s="12" t="s">
        <v>3321</v>
      </c>
      <c r="B2" s="12" t="s">
        <v>388</v>
      </c>
      <c r="C2" s="12" t="s">
        <v>3322</v>
      </c>
      <c r="D2" s="12" t="s">
        <v>2320</v>
      </c>
      <c r="E2" s="12" t="s">
        <v>3323</v>
      </c>
      <c r="F2" s="12" t="s">
        <v>3324</v>
      </c>
      <c r="G2" s="12" t="s">
        <v>3325</v>
      </c>
      <c r="H2" s="12" t="s">
        <v>3326</v>
      </c>
      <c r="I2" s="12" t="s">
        <v>389</v>
      </c>
      <c r="J2" s="12" t="s">
        <v>262</v>
      </c>
    </row>
    <row r="3" spans="1:10" ht="25" x14ac:dyDescent="0.35">
      <c r="A3" s="12" t="s">
        <v>3327</v>
      </c>
      <c r="B3" s="12" t="s">
        <v>3328</v>
      </c>
      <c r="C3" s="12" t="s">
        <v>3329</v>
      </c>
      <c r="D3" s="12" t="s">
        <v>3330</v>
      </c>
      <c r="E3" s="12" t="s">
        <v>3331</v>
      </c>
      <c r="F3" s="12" t="s">
        <v>3332</v>
      </c>
      <c r="G3" s="12" t="s">
        <v>3333</v>
      </c>
      <c r="H3" s="12" t="s">
        <v>3334</v>
      </c>
      <c r="I3" s="12" t="s">
        <v>408</v>
      </c>
      <c r="J3" s="12" t="s">
        <v>262</v>
      </c>
    </row>
    <row r="4" spans="1:10" ht="25" x14ac:dyDescent="0.35">
      <c r="A4" s="12" t="s">
        <v>3335</v>
      </c>
      <c r="B4" s="12" t="s">
        <v>3328</v>
      </c>
      <c r="C4" s="12" t="s">
        <v>3336</v>
      </c>
      <c r="D4" s="12" t="s">
        <v>3337</v>
      </c>
      <c r="E4" s="12" t="s">
        <v>3338</v>
      </c>
      <c r="F4" s="12" t="s">
        <v>3339</v>
      </c>
      <c r="G4" s="12" t="s">
        <v>3340</v>
      </c>
      <c r="H4" s="12" t="s">
        <v>3341</v>
      </c>
      <c r="I4" s="12" t="s">
        <v>434</v>
      </c>
      <c r="J4" s="12" t="s">
        <v>262</v>
      </c>
    </row>
    <row r="5" spans="1:10" ht="25" x14ac:dyDescent="0.35">
      <c r="A5" s="12" t="s">
        <v>3342</v>
      </c>
      <c r="B5" s="12" t="s">
        <v>3328</v>
      </c>
      <c r="C5" s="12" t="s">
        <v>3343</v>
      </c>
      <c r="D5" s="12" t="s">
        <v>3344</v>
      </c>
      <c r="E5" s="12" t="s">
        <v>3345</v>
      </c>
      <c r="F5" s="12" t="s">
        <v>3346</v>
      </c>
      <c r="G5" s="12" t="s">
        <v>3347</v>
      </c>
      <c r="H5" s="12" t="s">
        <v>3348</v>
      </c>
      <c r="I5" s="12" t="s">
        <v>434</v>
      </c>
      <c r="J5" s="12" t="s">
        <v>262</v>
      </c>
    </row>
    <row r="6" spans="1:10" x14ac:dyDescent="0.35">
      <c r="A6" s="12" t="s">
        <v>3349</v>
      </c>
      <c r="B6" s="12" t="s">
        <v>3328</v>
      </c>
      <c r="C6" s="12" t="s">
        <v>3343</v>
      </c>
      <c r="D6" s="12" t="s">
        <v>3350</v>
      </c>
      <c r="E6" s="12" t="s">
        <v>3351</v>
      </c>
      <c r="F6" s="12" t="s">
        <v>3352</v>
      </c>
      <c r="G6" s="12" t="s">
        <v>3353</v>
      </c>
      <c r="H6" s="12" t="s">
        <v>3354</v>
      </c>
      <c r="I6" s="12" t="s">
        <v>464</v>
      </c>
      <c r="J6" s="12" t="s">
        <v>720</v>
      </c>
    </row>
    <row r="7" spans="1:10" x14ac:dyDescent="0.35">
      <c r="A7" s="12" t="s">
        <v>3355</v>
      </c>
      <c r="B7" s="12" t="s">
        <v>3328</v>
      </c>
      <c r="C7" s="12" t="s">
        <v>3343</v>
      </c>
      <c r="D7" s="12" t="s">
        <v>3356</v>
      </c>
      <c r="E7" s="12" t="s">
        <v>3357</v>
      </c>
      <c r="F7" s="12" t="s">
        <v>3358</v>
      </c>
      <c r="G7" s="12" t="s">
        <v>3353</v>
      </c>
      <c r="H7" s="12" t="s">
        <v>3359</v>
      </c>
      <c r="I7" s="12" t="s">
        <v>464</v>
      </c>
      <c r="J7" s="12" t="s">
        <v>720</v>
      </c>
    </row>
    <row r="8" spans="1:10" ht="25" x14ac:dyDescent="0.35">
      <c r="A8" s="12" t="s">
        <v>3360</v>
      </c>
      <c r="B8" s="12" t="s">
        <v>3280</v>
      </c>
      <c r="C8" s="12" t="s">
        <v>3361</v>
      </c>
      <c r="D8" s="12" t="s">
        <v>3362</v>
      </c>
      <c r="E8" s="12" t="s">
        <v>3363</v>
      </c>
      <c r="F8" s="12" t="s">
        <v>3364</v>
      </c>
      <c r="G8" s="12" t="s">
        <v>3365</v>
      </c>
      <c r="H8" s="12" t="s">
        <v>3366</v>
      </c>
      <c r="I8" s="12" t="s">
        <v>3367</v>
      </c>
      <c r="J8" s="12" t="s">
        <v>720</v>
      </c>
    </row>
    <row r="9" spans="1:10" x14ac:dyDescent="0.35">
      <c r="A9" s="12" t="s">
        <v>3368</v>
      </c>
      <c r="B9" s="12" t="s">
        <v>3369</v>
      </c>
      <c r="C9" s="12" t="s">
        <v>3343</v>
      </c>
      <c r="D9" s="12" t="s">
        <v>3370</v>
      </c>
      <c r="E9" s="12" t="s">
        <v>3371</v>
      </c>
      <c r="F9" s="12" t="s">
        <v>3372</v>
      </c>
      <c r="G9" s="12" t="s">
        <v>3373</v>
      </c>
      <c r="H9" s="12" t="s">
        <v>3374</v>
      </c>
      <c r="I9" s="12" t="s">
        <v>3367</v>
      </c>
      <c r="J9" s="12" t="s">
        <v>720</v>
      </c>
    </row>
    <row r="11" spans="1:10" ht="51.75" customHeight="1" x14ac:dyDescent="0.35">
      <c r="A11" s="1" t="s">
        <v>3375</v>
      </c>
      <c r="B11" s="1"/>
      <c r="C11" s="1"/>
      <c r="D11" s="1"/>
      <c r="E11" s="1"/>
      <c r="F11" s="1"/>
      <c r="G11" s="1"/>
      <c r="H11" s="1"/>
      <c r="I11" s="1"/>
      <c r="J11" s="1"/>
    </row>
  </sheetData>
  <autoFilter ref="A1:J9" xr:uid="{00000000-0009-0000-0000-000024000000}"/>
  <mergeCells count="1">
    <mergeCell ref="A11:J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37474F"/>
  </sheetPr>
  <dimension ref="A1:F27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24" customWidth="1"/>
    <col min="3" max="3" width="40" customWidth="1"/>
    <col min="4" max="4" width="70" customWidth="1"/>
    <col min="5" max="5" width="26" customWidth="1"/>
    <col min="6" max="6" width="12" customWidth="1"/>
  </cols>
  <sheetData>
    <row r="1" spans="1:6" ht="27.75" customHeight="1" x14ac:dyDescent="0.35">
      <c r="A1" s="11" t="s">
        <v>3376</v>
      </c>
      <c r="B1" s="11" t="s">
        <v>840</v>
      </c>
      <c r="C1" s="11" t="s">
        <v>3190</v>
      </c>
      <c r="D1" s="11" t="s">
        <v>3377</v>
      </c>
      <c r="E1" s="11" t="s">
        <v>3378</v>
      </c>
      <c r="F1" s="11" t="s">
        <v>254</v>
      </c>
    </row>
    <row r="2" spans="1:6" x14ac:dyDescent="0.35">
      <c r="A2" s="12" t="s">
        <v>3379</v>
      </c>
      <c r="B2" s="12" t="s">
        <v>3380</v>
      </c>
      <c r="C2" s="12" t="s">
        <v>3381</v>
      </c>
      <c r="D2" s="12" t="s">
        <v>3382</v>
      </c>
      <c r="E2" s="12" t="s">
        <v>3383</v>
      </c>
      <c r="F2" s="12" t="s">
        <v>262</v>
      </c>
    </row>
    <row r="3" spans="1:6" x14ac:dyDescent="0.35">
      <c r="A3" s="12" t="s">
        <v>3384</v>
      </c>
      <c r="B3" s="12" t="s">
        <v>3380</v>
      </c>
      <c r="C3" s="12" t="s">
        <v>3385</v>
      </c>
      <c r="D3" s="12" t="s">
        <v>3386</v>
      </c>
      <c r="E3" s="12" t="s">
        <v>3387</v>
      </c>
      <c r="F3" s="12" t="s">
        <v>262</v>
      </c>
    </row>
    <row r="4" spans="1:6" x14ac:dyDescent="0.35">
      <c r="A4" s="12" t="s">
        <v>3388</v>
      </c>
      <c r="B4" s="12" t="s">
        <v>3380</v>
      </c>
      <c r="C4" s="12" t="s">
        <v>3389</v>
      </c>
      <c r="D4" s="12" t="s">
        <v>3390</v>
      </c>
      <c r="E4" s="12" t="s">
        <v>3391</v>
      </c>
      <c r="F4" s="12" t="s">
        <v>262</v>
      </c>
    </row>
    <row r="5" spans="1:6" x14ac:dyDescent="0.35">
      <c r="A5" s="12" t="s">
        <v>3392</v>
      </c>
      <c r="B5" s="12" t="s">
        <v>3393</v>
      </c>
      <c r="C5" s="12" t="s">
        <v>3394</v>
      </c>
      <c r="D5" s="12" t="s">
        <v>3395</v>
      </c>
      <c r="E5" s="12" t="s">
        <v>3396</v>
      </c>
      <c r="F5" s="12" t="s">
        <v>262</v>
      </c>
    </row>
    <row r="6" spans="1:6" x14ac:dyDescent="0.35">
      <c r="A6" s="12" t="s">
        <v>3397</v>
      </c>
      <c r="B6" s="12" t="s">
        <v>3393</v>
      </c>
      <c r="C6" s="12" t="s">
        <v>3398</v>
      </c>
      <c r="D6" s="12" t="s">
        <v>3399</v>
      </c>
      <c r="E6" s="12" t="s">
        <v>388</v>
      </c>
      <c r="F6" s="12" t="s">
        <v>262</v>
      </c>
    </row>
    <row r="7" spans="1:6" ht="25" x14ac:dyDescent="0.35">
      <c r="A7" s="12" t="s">
        <v>3400</v>
      </c>
      <c r="B7" s="12" t="s">
        <v>3401</v>
      </c>
      <c r="C7" s="12" t="s">
        <v>3402</v>
      </c>
      <c r="D7" s="12" t="s">
        <v>3403</v>
      </c>
      <c r="E7" s="12" t="s">
        <v>388</v>
      </c>
      <c r="F7" s="12" t="s">
        <v>262</v>
      </c>
    </row>
    <row r="8" spans="1:6" x14ac:dyDescent="0.35">
      <c r="A8" s="12" t="s">
        <v>3404</v>
      </c>
      <c r="B8" s="12" t="s">
        <v>3401</v>
      </c>
      <c r="C8" s="12" t="s">
        <v>3405</v>
      </c>
      <c r="D8" s="12" t="s">
        <v>3406</v>
      </c>
      <c r="E8" s="12" t="s">
        <v>388</v>
      </c>
      <c r="F8" s="12" t="s">
        <v>262</v>
      </c>
    </row>
    <row r="9" spans="1:6" ht="25" x14ac:dyDescent="0.35">
      <c r="A9" s="12" t="s">
        <v>3407</v>
      </c>
      <c r="B9" s="12" t="s">
        <v>3408</v>
      </c>
      <c r="C9" s="12" t="s">
        <v>3409</v>
      </c>
      <c r="D9" s="12" t="s">
        <v>3410</v>
      </c>
      <c r="E9" s="12" t="s">
        <v>388</v>
      </c>
      <c r="F9" s="12" t="s">
        <v>262</v>
      </c>
    </row>
    <row r="10" spans="1:6" x14ac:dyDescent="0.35">
      <c r="A10" s="12" t="s">
        <v>3411</v>
      </c>
      <c r="B10" s="12" t="s">
        <v>3408</v>
      </c>
      <c r="C10" s="12" t="s">
        <v>3412</v>
      </c>
      <c r="D10" s="12" t="s">
        <v>3413</v>
      </c>
      <c r="E10" s="12" t="s">
        <v>388</v>
      </c>
      <c r="F10" s="12" t="s">
        <v>262</v>
      </c>
    </row>
    <row r="11" spans="1:6" x14ac:dyDescent="0.35">
      <c r="A11" s="12" t="s">
        <v>3414</v>
      </c>
      <c r="B11" s="12" t="s">
        <v>3415</v>
      </c>
      <c r="C11" s="12" t="s">
        <v>3416</v>
      </c>
      <c r="D11" s="12" t="s">
        <v>3417</v>
      </c>
      <c r="E11" s="12" t="s">
        <v>3418</v>
      </c>
      <c r="F11" s="12" t="s">
        <v>262</v>
      </c>
    </row>
    <row r="12" spans="1:6" x14ac:dyDescent="0.35">
      <c r="A12" s="12" t="s">
        <v>3419</v>
      </c>
      <c r="B12" s="12" t="s">
        <v>3415</v>
      </c>
      <c r="C12" s="12" t="s">
        <v>3420</v>
      </c>
      <c r="D12" s="12" t="s">
        <v>3421</v>
      </c>
      <c r="E12" s="12" t="s">
        <v>3422</v>
      </c>
      <c r="F12" s="12" t="s">
        <v>262</v>
      </c>
    </row>
    <row r="13" spans="1:6" x14ac:dyDescent="0.35">
      <c r="A13" s="12" t="s">
        <v>3423</v>
      </c>
      <c r="B13" s="12" t="s">
        <v>3415</v>
      </c>
      <c r="C13" s="12" t="s">
        <v>3424</v>
      </c>
      <c r="D13" s="12" t="s">
        <v>3425</v>
      </c>
      <c r="E13" s="12" t="s">
        <v>388</v>
      </c>
      <c r="F13" s="12" t="s">
        <v>262</v>
      </c>
    </row>
    <row r="14" spans="1:6" x14ac:dyDescent="0.35">
      <c r="A14" s="12" t="s">
        <v>3426</v>
      </c>
      <c r="B14" s="12" t="s">
        <v>3427</v>
      </c>
      <c r="C14" s="12" t="s">
        <v>3428</v>
      </c>
      <c r="D14" s="12" t="s">
        <v>3429</v>
      </c>
      <c r="E14" s="12" t="s">
        <v>388</v>
      </c>
      <c r="F14" s="12" t="s">
        <v>262</v>
      </c>
    </row>
    <row r="15" spans="1:6" x14ac:dyDescent="0.35">
      <c r="A15" s="12" t="s">
        <v>3430</v>
      </c>
      <c r="B15" s="12" t="s">
        <v>3427</v>
      </c>
      <c r="C15" s="12" t="s">
        <v>3431</v>
      </c>
      <c r="D15" s="12" t="s">
        <v>3432</v>
      </c>
      <c r="E15" s="12" t="s">
        <v>388</v>
      </c>
      <c r="F15" s="12" t="s">
        <v>262</v>
      </c>
    </row>
    <row r="16" spans="1:6" x14ac:dyDescent="0.35">
      <c r="A16" s="12" t="s">
        <v>3433</v>
      </c>
      <c r="B16" s="12" t="s">
        <v>3434</v>
      </c>
      <c r="C16" s="12" t="s">
        <v>3435</v>
      </c>
      <c r="D16" s="12" t="s">
        <v>3436</v>
      </c>
      <c r="E16" s="12" t="s">
        <v>3437</v>
      </c>
      <c r="F16" s="12" t="s">
        <v>262</v>
      </c>
    </row>
    <row r="17" spans="1:6" x14ac:dyDescent="0.35">
      <c r="A17" s="12" t="s">
        <v>3438</v>
      </c>
      <c r="B17" s="12" t="s">
        <v>858</v>
      </c>
      <c r="C17" s="12" t="s">
        <v>3439</v>
      </c>
      <c r="D17" s="12" t="s">
        <v>3440</v>
      </c>
      <c r="E17" s="12" t="s">
        <v>388</v>
      </c>
      <c r="F17" s="12" t="s">
        <v>262</v>
      </c>
    </row>
    <row r="18" spans="1:6" ht="25" x14ac:dyDescent="0.35">
      <c r="A18" s="12" t="s">
        <v>3441</v>
      </c>
      <c r="B18" s="12" t="s">
        <v>3442</v>
      </c>
      <c r="C18" s="12" t="s">
        <v>3443</v>
      </c>
      <c r="D18" s="12" t="s">
        <v>3444</v>
      </c>
      <c r="E18" s="12" t="s">
        <v>3445</v>
      </c>
      <c r="F18" s="12" t="s">
        <v>262</v>
      </c>
    </row>
    <row r="19" spans="1:6" ht="25" x14ac:dyDescent="0.35">
      <c r="A19" s="12" t="s">
        <v>3446</v>
      </c>
      <c r="B19" s="12" t="s">
        <v>3442</v>
      </c>
      <c r="C19" s="12" t="s">
        <v>3447</v>
      </c>
      <c r="D19" s="12" t="s">
        <v>3448</v>
      </c>
      <c r="E19" s="12" t="s">
        <v>3449</v>
      </c>
      <c r="F19" s="12" t="s">
        <v>262</v>
      </c>
    </row>
    <row r="20" spans="1:6" x14ac:dyDescent="0.35">
      <c r="A20" s="12" t="s">
        <v>3450</v>
      </c>
      <c r="B20" s="12" t="s">
        <v>3451</v>
      </c>
      <c r="C20" s="12" t="s">
        <v>3452</v>
      </c>
      <c r="D20" s="12" t="s">
        <v>3453</v>
      </c>
      <c r="E20" s="12" t="s">
        <v>3454</v>
      </c>
      <c r="F20" s="12" t="s">
        <v>262</v>
      </c>
    </row>
    <row r="21" spans="1:6" x14ac:dyDescent="0.35">
      <c r="A21" s="12" t="s">
        <v>3455</v>
      </c>
      <c r="B21" s="12" t="s">
        <v>3451</v>
      </c>
      <c r="C21" s="12" t="s">
        <v>3456</v>
      </c>
      <c r="D21" s="12" t="s">
        <v>3457</v>
      </c>
      <c r="E21" s="12" t="s">
        <v>388</v>
      </c>
      <c r="F21" s="12" t="s">
        <v>262</v>
      </c>
    </row>
    <row r="22" spans="1:6" ht="25" x14ac:dyDescent="0.35">
      <c r="A22" s="12" t="s">
        <v>3458</v>
      </c>
      <c r="B22" s="12" t="s">
        <v>3415</v>
      </c>
      <c r="C22" s="12" t="s">
        <v>3459</v>
      </c>
      <c r="D22" s="12" t="s">
        <v>3460</v>
      </c>
      <c r="E22" s="12" t="s">
        <v>3461</v>
      </c>
      <c r="F22" s="12" t="s">
        <v>262</v>
      </c>
    </row>
    <row r="23" spans="1:6" ht="25" x14ac:dyDescent="0.35">
      <c r="A23" s="12" t="s">
        <v>3462</v>
      </c>
      <c r="B23" s="12" t="s">
        <v>3380</v>
      </c>
      <c r="C23" s="12" t="s">
        <v>3463</v>
      </c>
      <c r="D23" s="12" t="s">
        <v>3464</v>
      </c>
      <c r="E23" s="12" t="s">
        <v>3465</v>
      </c>
      <c r="F23" s="12" t="s">
        <v>262</v>
      </c>
    </row>
    <row r="24" spans="1:6" ht="25" x14ac:dyDescent="0.35">
      <c r="A24" s="12" t="s">
        <v>3466</v>
      </c>
      <c r="B24" s="12" t="s">
        <v>2524</v>
      </c>
      <c r="C24" s="12" t="s">
        <v>3467</v>
      </c>
      <c r="D24" s="12" t="s">
        <v>3468</v>
      </c>
      <c r="E24" s="12" t="s">
        <v>388</v>
      </c>
      <c r="F24" s="12" t="s">
        <v>262</v>
      </c>
    </row>
    <row r="25" spans="1:6" ht="25" x14ac:dyDescent="0.35">
      <c r="A25" s="12" t="s">
        <v>3469</v>
      </c>
      <c r="B25" s="12" t="s">
        <v>3470</v>
      </c>
      <c r="C25" s="12" t="s">
        <v>3471</v>
      </c>
      <c r="D25" s="12" t="s">
        <v>3472</v>
      </c>
      <c r="E25" s="12" t="s">
        <v>388</v>
      </c>
      <c r="F25" s="12" t="s">
        <v>262</v>
      </c>
    </row>
    <row r="26" spans="1:6" ht="25" x14ac:dyDescent="0.35">
      <c r="A26" s="12" t="s">
        <v>3473</v>
      </c>
      <c r="B26" s="12" t="s">
        <v>3415</v>
      </c>
      <c r="C26" s="12" t="s">
        <v>3474</v>
      </c>
      <c r="D26" s="12" t="s">
        <v>3475</v>
      </c>
      <c r="E26" s="12" t="s">
        <v>3422</v>
      </c>
      <c r="F26" s="12" t="s">
        <v>262</v>
      </c>
    </row>
    <row r="27" spans="1:6" ht="25" x14ac:dyDescent="0.35">
      <c r="A27" s="12" t="s">
        <v>3476</v>
      </c>
      <c r="B27" s="12" t="s">
        <v>3401</v>
      </c>
      <c r="C27" s="12" t="s">
        <v>3477</v>
      </c>
      <c r="D27" s="12" t="s">
        <v>3478</v>
      </c>
      <c r="E27" s="12" t="s">
        <v>388</v>
      </c>
      <c r="F27" s="12" t="s">
        <v>262</v>
      </c>
    </row>
  </sheetData>
  <autoFilter ref="A1:F27" xr:uid="{00000000-0009-0000-0000-000025000000}"/>
  <pageMargins left="0.75" right="0.75" top="1" bottom="1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37474F"/>
  </sheetPr>
  <dimension ref="A1:G2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2" width="12" customWidth="1"/>
    <col min="3" max="3" width="14" customWidth="1"/>
    <col min="4" max="5" width="12" customWidth="1"/>
    <col min="6" max="6" width="16" customWidth="1"/>
    <col min="7" max="7" width="50" customWidth="1"/>
  </cols>
  <sheetData>
    <row r="1" spans="1:7" ht="27.75" customHeight="1" x14ac:dyDescent="0.35">
      <c r="A1" s="11" t="s">
        <v>3479</v>
      </c>
      <c r="B1" s="11" t="s">
        <v>3480</v>
      </c>
      <c r="C1" s="11" t="s">
        <v>3481</v>
      </c>
      <c r="D1" s="11" t="s">
        <v>3482</v>
      </c>
      <c r="E1" s="11" t="s">
        <v>335</v>
      </c>
      <c r="F1" s="11" t="s">
        <v>3483</v>
      </c>
      <c r="G1" s="11" t="s">
        <v>620</v>
      </c>
    </row>
    <row r="2" spans="1:7" x14ac:dyDescent="0.35">
      <c r="A2" s="12" t="s">
        <v>3484</v>
      </c>
      <c r="B2" s="12" t="s">
        <v>3485</v>
      </c>
      <c r="C2" s="12" t="s">
        <v>3485</v>
      </c>
      <c r="D2" s="12" t="s">
        <v>3485</v>
      </c>
      <c r="E2" s="12" t="s">
        <v>3485</v>
      </c>
      <c r="F2" s="12" t="s">
        <v>3485</v>
      </c>
      <c r="G2" s="12"/>
    </row>
    <row r="3" spans="1:7" x14ac:dyDescent="0.35">
      <c r="A3" s="12" t="s">
        <v>3486</v>
      </c>
      <c r="B3" s="12" t="s">
        <v>3487</v>
      </c>
      <c r="C3" s="12" t="s">
        <v>3488</v>
      </c>
      <c r="D3" s="12" t="s">
        <v>3488</v>
      </c>
      <c r="E3" s="12" t="s">
        <v>3489</v>
      </c>
      <c r="F3" s="12" t="s">
        <v>3489</v>
      </c>
      <c r="G3" s="12" t="s">
        <v>3490</v>
      </c>
    </row>
    <row r="4" spans="1:7" x14ac:dyDescent="0.35">
      <c r="A4" s="12" t="s">
        <v>3491</v>
      </c>
      <c r="B4" s="12" t="s">
        <v>388</v>
      </c>
      <c r="C4" s="12" t="s">
        <v>3485</v>
      </c>
      <c r="D4" s="12" t="s">
        <v>3485</v>
      </c>
      <c r="E4" s="12" t="s">
        <v>3485</v>
      </c>
      <c r="F4" s="12" t="s">
        <v>3485</v>
      </c>
      <c r="G4" s="12"/>
    </row>
    <row r="5" spans="1:7" x14ac:dyDescent="0.35">
      <c r="A5" s="12" t="s">
        <v>3492</v>
      </c>
      <c r="B5" s="12" t="s">
        <v>388</v>
      </c>
      <c r="C5" s="12" t="s">
        <v>3485</v>
      </c>
      <c r="D5" s="12" t="s">
        <v>3485</v>
      </c>
      <c r="E5" s="12" t="s">
        <v>3485</v>
      </c>
      <c r="F5" s="12" t="s">
        <v>3485</v>
      </c>
      <c r="G5" s="12"/>
    </row>
    <row r="6" spans="1:7" x14ac:dyDescent="0.35">
      <c r="A6" s="12" t="s">
        <v>3493</v>
      </c>
      <c r="B6" s="12" t="s">
        <v>388</v>
      </c>
      <c r="C6" s="12" t="s">
        <v>388</v>
      </c>
      <c r="D6" s="12" t="s">
        <v>3485</v>
      </c>
      <c r="E6" s="12" t="s">
        <v>3485</v>
      </c>
      <c r="F6" s="12" t="s">
        <v>3485</v>
      </c>
      <c r="G6" s="12" t="s">
        <v>3494</v>
      </c>
    </row>
    <row r="7" spans="1:7" x14ac:dyDescent="0.35">
      <c r="A7" s="12" t="s">
        <v>3495</v>
      </c>
      <c r="B7" s="12" t="s">
        <v>388</v>
      </c>
      <c r="C7" s="12" t="s">
        <v>3485</v>
      </c>
      <c r="D7" s="12" t="s">
        <v>3485</v>
      </c>
      <c r="E7" s="12" t="s">
        <v>3485</v>
      </c>
      <c r="F7" s="12" t="s">
        <v>3485</v>
      </c>
      <c r="G7" s="12" t="s">
        <v>3496</v>
      </c>
    </row>
    <row r="8" spans="1:7" x14ac:dyDescent="0.35">
      <c r="A8" s="12" t="s">
        <v>3497</v>
      </c>
      <c r="B8" s="12" t="s">
        <v>388</v>
      </c>
      <c r="C8" s="12" t="s">
        <v>388</v>
      </c>
      <c r="D8" s="12" t="s">
        <v>388</v>
      </c>
      <c r="E8" s="12" t="s">
        <v>3485</v>
      </c>
      <c r="F8" s="12" t="s">
        <v>3485</v>
      </c>
      <c r="G8" s="12" t="s">
        <v>3498</v>
      </c>
    </row>
    <row r="9" spans="1:7" x14ac:dyDescent="0.35">
      <c r="A9" s="12" t="s">
        <v>3499</v>
      </c>
      <c r="B9" s="12" t="s">
        <v>388</v>
      </c>
      <c r="C9" s="12" t="s">
        <v>3485</v>
      </c>
      <c r="D9" s="12" t="s">
        <v>3485</v>
      </c>
      <c r="E9" s="12" t="s">
        <v>3485</v>
      </c>
      <c r="F9" s="12" t="s">
        <v>3485</v>
      </c>
      <c r="G9" s="12" t="s">
        <v>3500</v>
      </c>
    </row>
    <row r="10" spans="1:7" ht="25" x14ac:dyDescent="0.35">
      <c r="A10" s="12" t="s">
        <v>3501</v>
      </c>
      <c r="B10" s="12" t="s">
        <v>388</v>
      </c>
      <c r="C10" s="12" t="s">
        <v>388</v>
      </c>
      <c r="D10" s="12" t="s">
        <v>388</v>
      </c>
      <c r="E10" s="12" t="s">
        <v>3502</v>
      </c>
      <c r="F10" s="12" t="s">
        <v>3502</v>
      </c>
      <c r="G10" s="12" t="s">
        <v>3503</v>
      </c>
    </row>
    <row r="11" spans="1:7" x14ac:dyDescent="0.35">
      <c r="A11" s="12" t="s">
        <v>3504</v>
      </c>
      <c r="B11" s="12" t="s">
        <v>388</v>
      </c>
      <c r="C11" s="12" t="s">
        <v>3485</v>
      </c>
      <c r="D11" s="12" t="s">
        <v>3485</v>
      </c>
      <c r="E11" s="12" t="s">
        <v>3485</v>
      </c>
      <c r="F11" s="12" t="s">
        <v>3485</v>
      </c>
      <c r="G11" s="12" t="s">
        <v>3505</v>
      </c>
    </row>
    <row r="12" spans="1:7" x14ac:dyDescent="0.35">
      <c r="A12" s="12" t="s">
        <v>3506</v>
      </c>
      <c r="B12" s="12" t="s">
        <v>388</v>
      </c>
      <c r="C12" s="12" t="s">
        <v>3485</v>
      </c>
      <c r="D12" s="12" t="s">
        <v>3485</v>
      </c>
      <c r="E12" s="12" t="s">
        <v>3485</v>
      </c>
      <c r="F12" s="12" t="s">
        <v>3485</v>
      </c>
      <c r="G12" s="12"/>
    </row>
    <row r="13" spans="1:7" ht="25" x14ac:dyDescent="0.35">
      <c r="A13" s="12" t="s">
        <v>3507</v>
      </c>
      <c r="B13" s="12" t="s">
        <v>388</v>
      </c>
      <c r="C13" s="12" t="s">
        <v>388</v>
      </c>
      <c r="D13" s="12" t="s">
        <v>3485</v>
      </c>
      <c r="E13" s="12" t="s">
        <v>3485</v>
      </c>
      <c r="F13" s="12" t="s">
        <v>3485</v>
      </c>
      <c r="G13" s="12" t="s">
        <v>3508</v>
      </c>
    </row>
    <row r="14" spans="1:7" ht="25" x14ac:dyDescent="0.35">
      <c r="A14" s="12" t="s">
        <v>3509</v>
      </c>
      <c r="B14" s="12" t="s">
        <v>3510</v>
      </c>
      <c r="C14" s="12" t="s">
        <v>3485</v>
      </c>
      <c r="D14" s="12" t="s">
        <v>3485</v>
      </c>
      <c r="E14" s="12" t="s">
        <v>3485</v>
      </c>
      <c r="F14" s="12" t="s">
        <v>3485</v>
      </c>
      <c r="G14" s="12" t="s">
        <v>3511</v>
      </c>
    </row>
    <row r="15" spans="1:7" x14ac:dyDescent="0.35">
      <c r="A15" s="12" t="s">
        <v>3512</v>
      </c>
      <c r="B15" s="12" t="s">
        <v>388</v>
      </c>
      <c r="C15" s="12" t="s">
        <v>3488</v>
      </c>
      <c r="D15" s="12" t="s">
        <v>3488</v>
      </c>
      <c r="E15" s="12" t="s">
        <v>3489</v>
      </c>
      <c r="F15" s="12" t="s">
        <v>3489</v>
      </c>
      <c r="G15" s="12" t="s">
        <v>3513</v>
      </c>
    </row>
    <row r="16" spans="1:7" x14ac:dyDescent="0.35">
      <c r="A16" s="12" t="s">
        <v>3514</v>
      </c>
      <c r="B16" s="12" t="s">
        <v>388</v>
      </c>
      <c r="C16" s="12" t="s">
        <v>388</v>
      </c>
      <c r="D16" s="12" t="s">
        <v>388</v>
      </c>
      <c r="E16" s="12" t="s">
        <v>3485</v>
      </c>
      <c r="F16" s="12" t="s">
        <v>3485</v>
      </c>
      <c r="G16" s="12" t="s">
        <v>3515</v>
      </c>
    </row>
    <row r="17" spans="1:7" ht="25" x14ac:dyDescent="0.35">
      <c r="A17" s="12" t="s">
        <v>3516</v>
      </c>
      <c r="B17" s="12" t="s">
        <v>388</v>
      </c>
      <c r="C17" s="12" t="s">
        <v>388</v>
      </c>
      <c r="D17" s="12" t="s">
        <v>388</v>
      </c>
      <c r="E17" s="12" t="s">
        <v>3517</v>
      </c>
      <c r="F17" s="12" t="s">
        <v>3489</v>
      </c>
      <c r="G17" s="12" t="s">
        <v>3518</v>
      </c>
    </row>
    <row r="18" spans="1:7" x14ac:dyDescent="0.35">
      <c r="A18" s="12" t="s">
        <v>3519</v>
      </c>
      <c r="B18" s="12" t="s">
        <v>388</v>
      </c>
      <c r="C18" s="12" t="s">
        <v>388</v>
      </c>
      <c r="D18" s="12" t="s">
        <v>388</v>
      </c>
      <c r="E18" s="12" t="s">
        <v>388</v>
      </c>
      <c r="F18" s="12" t="s">
        <v>3485</v>
      </c>
      <c r="G18" s="12"/>
    </row>
    <row r="19" spans="1:7" x14ac:dyDescent="0.35">
      <c r="A19" s="12" t="s">
        <v>3520</v>
      </c>
      <c r="B19" s="12" t="s">
        <v>388</v>
      </c>
      <c r="C19" s="12" t="s">
        <v>388</v>
      </c>
      <c r="D19" s="12" t="s">
        <v>388</v>
      </c>
      <c r="E19" s="12" t="s">
        <v>3485</v>
      </c>
      <c r="F19" s="12" t="s">
        <v>3485</v>
      </c>
      <c r="G19" s="12" t="s">
        <v>3521</v>
      </c>
    </row>
    <row r="20" spans="1:7" x14ac:dyDescent="0.35">
      <c r="A20" s="12" t="s">
        <v>3522</v>
      </c>
      <c r="B20" s="12" t="s">
        <v>388</v>
      </c>
      <c r="C20" s="12" t="s">
        <v>388</v>
      </c>
      <c r="D20" s="12" t="s">
        <v>388</v>
      </c>
      <c r="E20" s="12" t="s">
        <v>3485</v>
      </c>
      <c r="F20" s="12" t="s">
        <v>3485</v>
      </c>
      <c r="G20" s="12"/>
    </row>
    <row r="21" spans="1:7" ht="25" x14ac:dyDescent="0.35">
      <c r="A21" s="12" t="s">
        <v>3523</v>
      </c>
      <c r="B21" s="12" t="s">
        <v>388</v>
      </c>
      <c r="C21" s="12" t="s">
        <v>388</v>
      </c>
      <c r="D21" s="12" t="s">
        <v>388</v>
      </c>
      <c r="E21" s="12" t="s">
        <v>388</v>
      </c>
      <c r="F21" s="12" t="s">
        <v>3502</v>
      </c>
      <c r="G21" s="12" t="s">
        <v>3524</v>
      </c>
    </row>
    <row r="23" spans="1:7" ht="39" customHeight="1" x14ac:dyDescent="0.35">
      <c r="A23" s="1" t="s">
        <v>3525</v>
      </c>
      <c r="B23" s="1"/>
      <c r="C23" s="1"/>
      <c r="D23" s="1"/>
      <c r="E23" s="1"/>
      <c r="F23" s="1"/>
      <c r="G23" s="1"/>
    </row>
  </sheetData>
  <autoFilter ref="A1:G21" xr:uid="{00000000-0009-0000-0000-000026000000}"/>
  <mergeCells count="1">
    <mergeCell ref="A23:G23"/>
  </mergeCells>
  <pageMargins left="0.75" right="0.75" top="1" bottom="1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37474F"/>
  </sheetPr>
  <dimension ref="A1:D16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2" width="30" customWidth="1"/>
    <col min="3" max="3" width="80" customWidth="1"/>
    <col min="4" max="4" width="30" customWidth="1"/>
  </cols>
  <sheetData>
    <row r="1" spans="1:4" ht="27.75" customHeight="1" x14ac:dyDescent="0.35">
      <c r="A1" s="11" t="s">
        <v>1497</v>
      </c>
      <c r="B1" s="11" t="s">
        <v>1947</v>
      </c>
      <c r="C1" s="11" t="s">
        <v>189</v>
      </c>
      <c r="D1" s="11" t="s">
        <v>3526</v>
      </c>
    </row>
    <row r="2" spans="1:4" ht="25" x14ac:dyDescent="0.35">
      <c r="A2" s="12" t="s">
        <v>3527</v>
      </c>
      <c r="B2" s="12" t="s">
        <v>3528</v>
      </c>
      <c r="C2" s="12" t="s">
        <v>3529</v>
      </c>
      <c r="D2" s="12" t="s">
        <v>3530</v>
      </c>
    </row>
    <row r="3" spans="1:4" ht="25" x14ac:dyDescent="0.35">
      <c r="A3" s="12" t="s">
        <v>3527</v>
      </c>
      <c r="B3" s="12" t="s">
        <v>3531</v>
      </c>
      <c r="C3" s="12" t="s">
        <v>3532</v>
      </c>
      <c r="D3" s="12" t="s">
        <v>3533</v>
      </c>
    </row>
    <row r="4" spans="1:4" ht="25" x14ac:dyDescent="0.35">
      <c r="A4" s="12" t="s">
        <v>3527</v>
      </c>
      <c r="B4" s="12" t="s">
        <v>3534</v>
      </c>
      <c r="C4" s="12" t="s">
        <v>3535</v>
      </c>
      <c r="D4" s="12" t="s">
        <v>3536</v>
      </c>
    </row>
    <row r="5" spans="1:4" ht="25" x14ac:dyDescent="0.35">
      <c r="A5" s="12" t="s">
        <v>3537</v>
      </c>
      <c r="B5" s="12" t="s">
        <v>3538</v>
      </c>
      <c r="C5" s="12" t="s">
        <v>3539</v>
      </c>
      <c r="D5" s="12" t="s">
        <v>3540</v>
      </c>
    </row>
    <row r="6" spans="1:4" ht="25" x14ac:dyDescent="0.35">
      <c r="A6" s="12" t="s">
        <v>3537</v>
      </c>
      <c r="B6" s="12" t="s">
        <v>3541</v>
      </c>
      <c r="C6" s="12" t="s">
        <v>3542</v>
      </c>
      <c r="D6" s="12" t="s">
        <v>3543</v>
      </c>
    </row>
    <row r="7" spans="1:4" ht="25" x14ac:dyDescent="0.35">
      <c r="A7" s="12" t="s">
        <v>3544</v>
      </c>
      <c r="B7" s="12" t="s">
        <v>3545</v>
      </c>
      <c r="C7" s="12" t="s">
        <v>3546</v>
      </c>
      <c r="D7" s="12" t="s">
        <v>3547</v>
      </c>
    </row>
    <row r="8" spans="1:4" ht="25" x14ac:dyDescent="0.35">
      <c r="A8" s="12" t="s">
        <v>3548</v>
      </c>
      <c r="B8" s="12" t="s">
        <v>2644</v>
      </c>
      <c r="C8" s="12" t="s">
        <v>3549</v>
      </c>
      <c r="D8" s="12" t="s">
        <v>3550</v>
      </c>
    </row>
    <row r="9" spans="1:4" ht="25" x14ac:dyDescent="0.35">
      <c r="A9" s="12" t="s">
        <v>3548</v>
      </c>
      <c r="B9" s="12" t="s">
        <v>3551</v>
      </c>
      <c r="C9" s="12" t="s">
        <v>3552</v>
      </c>
      <c r="D9" s="12" t="s">
        <v>3553</v>
      </c>
    </row>
    <row r="10" spans="1:4" ht="37.5" x14ac:dyDescent="0.35">
      <c r="A10" s="12" t="s">
        <v>3554</v>
      </c>
      <c r="B10" s="12" t="s">
        <v>3545</v>
      </c>
      <c r="C10" s="12" t="s">
        <v>3555</v>
      </c>
      <c r="D10" s="12" t="s">
        <v>3556</v>
      </c>
    </row>
    <row r="11" spans="1:4" ht="37.5" x14ac:dyDescent="0.35">
      <c r="A11" s="12" t="s">
        <v>3557</v>
      </c>
      <c r="B11" s="12" t="s">
        <v>3545</v>
      </c>
      <c r="C11" s="12" t="s">
        <v>3558</v>
      </c>
      <c r="D11" s="12" t="s">
        <v>3559</v>
      </c>
    </row>
    <row r="12" spans="1:4" ht="25" x14ac:dyDescent="0.35">
      <c r="A12" s="12" t="s">
        <v>3560</v>
      </c>
      <c r="B12" s="12" t="s">
        <v>3545</v>
      </c>
      <c r="C12" s="12" t="s">
        <v>3561</v>
      </c>
      <c r="D12" s="12" t="s">
        <v>3562</v>
      </c>
    </row>
    <row r="13" spans="1:4" ht="25" x14ac:dyDescent="0.35">
      <c r="A13" s="12" t="s">
        <v>3563</v>
      </c>
      <c r="B13" s="12" t="s">
        <v>3545</v>
      </c>
      <c r="C13" s="12" t="s">
        <v>3564</v>
      </c>
      <c r="D13" s="12" t="s">
        <v>3565</v>
      </c>
    </row>
    <row r="14" spans="1:4" ht="25" x14ac:dyDescent="0.35">
      <c r="A14" s="12" t="s">
        <v>3566</v>
      </c>
      <c r="B14" s="12" t="s">
        <v>3545</v>
      </c>
      <c r="C14" s="12" t="s">
        <v>3567</v>
      </c>
      <c r="D14" s="12" t="s">
        <v>3568</v>
      </c>
    </row>
    <row r="15" spans="1:4" ht="25" x14ac:dyDescent="0.35">
      <c r="A15" s="12" t="s">
        <v>3569</v>
      </c>
      <c r="B15" s="12" t="s">
        <v>3545</v>
      </c>
      <c r="C15" s="12" t="s">
        <v>3570</v>
      </c>
      <c r="D15" s="12" t="s">
        <v>3571</v>
      </c>
    </row>
    <row r="16" spans="1:4" ht="25" x14ac:dyDescent="0.35">
      <c r="A16" s="12" t="s">
        <v>3572</v>
      </c>
      <c r="B16" s="12" t="s">
        <v>3545</v>
      </c>
      <c r="C16" s="12" t="s">
        <v>3573</v>
      </c>
      <c r="D16" s="12" t="s">
        <v>3574</v>
      </c>
    </row>
  </sheetData>
  <autoFilter ref="A1:D16" xr:uid="{00000000-0009-0000-0000-000027000000}"/>
  <pageMargins left="0.75" right="0.75" top="1" bottom="1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37474F"/>
  </sheetPr>
  <dimension ref="A1:H18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20" customWidth="1"/>
    <col min="3" max="3" width="48" customWidth="1"/>
    <col min="4" max="4" width="30" customWidth="1"/>
    <col min="5" max="5" width="46" customWidth="1"/>
    <col min="6" max="6" width="18" customWidth="1"/>
    <col min="7" max="7" width="16" customWidth="1"/>
    <col min="8" max="8" width="12" customWidth="1"/>
  </cols>
  <sheetData>
    <row r="1" spans="1:8" ht="27.75" customHeight="1" x14ac:dyDescent="0.35">
      <c r="A1" s="11" t="s">
        <v>3575</v>
      </c>
      <c r="B1" s="11" t="s">
        <v>3576</v>
      </c>
      <c r="C1" s="11" t="s">
        <v>3577</v>
      </c>
      <c r="D1" s="11" t="s">
        <v>3578</v>
      </c>
      <c r="E1" s="11" t="s">
        <v>3579</v>
      </c>
      <c r="F1" s="11" t="s">
        <v>3580</v>
      </c>
      <c r="G1" s="11" t="s">
        <v>3581</v>
      </c>
      <c r="H1" s="11" t="s">
        <v>254</v>
      </c>
    </row>
    <row r="2" spans="1:8" ht="25" x14ac:dyDescent="0.35">
      <c r="A2" s="12" t="s">
        <v>3582</v>
      </c>
      <c r="B2" s="12" t="s">
        <v>3583</v>
      </c>
      <c r="C2" s="12" t="s">
        <v>3584</v>
      </c>
      <c r="D2" s="12" t="s">
        <v>3585</v>
      </c>
      <c r="E2" s="12" t="s">
        <v>3586</v>
      </c>
      <c r="F2" s="12" t="s">
        <v>3587</v>
      </c>
      <c r="G2" s="12" t="s">
        <v>3588</v>
      </c>
      <c r="H2" s="12" t="s">
        <v>262</v>
      </c>
    </row>
    <row r="3" spans="1:8" ht="25" x14ac:dyDescent="0.35">
      <c r="A3" s="12" t="s">
        <v>3589</v>
      </c>
      <c r="B3" s="12" t="s">
        <v>3583</v>
      </c>
      <c r="C3" s="12" t="s">
        <v>786</v>
      </c>
      <c r="D3" s="12" t="s">
        <v>3590</v>
      </c>
      <c r="E3" s="12" t="s">
        <v>3591</v>
      </c>
      <c r="F3" s="12" t="s">
        <v>3587</v>
      </c>
      <c r="G3" s="12" t="s">
        <v>3588</v>
      </c>
      <c r="H3" s="12" t="s">
        <v>262</v>
      </c>
    </row>
    <row r="4" spans="1:8" ht="25" x14ac:dyDescent="0.35">
      <c r="A4" s="12" t="s">
        <v>3592</v>
      </c>
      <c r="B4" s="12" t="s">
        <v>3583</v>
      </c>
      <c r="C4" s="12" t="s">
        <v>3593</v>
      </c>
      <c r="D4" s="12" t="s">
        <v>3594</v>
      </c>
      <c r="E4" s="12" t="s">
        <v>3595</v>
      </c>
      <c r="F4" s="12" t="s">
        <v>3587</v>
      </c>
      <c r="G4" s="12" t="s">
        <v>3588</v>
      </c>
      <c r="H4" s="12" t="s">
        <v>262</v>
      </c>
    </row>
    <row r="5" spans="1:8" ht="25" x14ac:dyDescent="0.35">
      <c r="A5" s="12" t="s">
        <v>3596</v>
      </c>
      <c r="B5" s="12" t="s">
        <v>3597</v>
      </c>
      <c r="C5" s="12" t="s">
        <v>3598</v>
      </c>
      <c r="D5" s="12" t="s">
        <v>3599</v>
      </c>
      <c r="E5" s="12" t="s">
        <v>3600</v>
      </c>
      <c r="F5" s="12" t="s">
        <v>3601</v>
      </c>
      <c r="G5" s="12" t="s">
        <v>3602</v>
      </c>
      <c r="H5" s="12" t="s">
        <v>262</v>
      </c>
    </row>
    <row r="6" spans="1:8" ht="25" x14ac:dyDescent="0.35">
      <c r="A6" s="12" t="s">
        <v>3603</v>
      </c>
      <c r="B6" s="12" t="s">
        <v>3597</v>
      </c>
      <c r="C6" s="12" t="s">
        <v>3604</v>
      </c>
      <c r="D6" s="12" t="s">
        <v>3605</v>
      </c>
      <c r="E6" s="12" t="s">
        <v>3606</v>
      </c>
      <c r="F6" s="12" t="s">
        <v>3607</v>
      </c>
      <c r="G6" s="12" t="s">
        <v>3602</v>
      </c>
      <c r="H6" s="12" t="s">
        <v>262</v>
      </c>
    </row>
    <row r="7" spans="1:8" ht="25" x14ac:dyDescent="0.35">
      <c r="A7" s="12" t="s">
        <v>3608</v>
      </c>
      <c r="B7" s="12" t="s">
        <v>3597</v>
      </c>
      <c r="C7" s="12" t="s">
        <v>3609</v>
      </c>
      <c r="D7" s="12" t="s">
        <v>3610</v>
      </c>
      <c r="E7" s="12" t="s">
        <v>3611</v>
      </c>
      <c r="F7" s="12" t="s">
        <v>3607</v>
      </c>
      <c r="G7" s="12" t="s">
        <v>3612</v>
      </c>
      <c r="H7" s="12" t="s">
        <v>262</v>
      </c>
    </row>
    <row r="8" spans="1:8" x14ac:dyDescent="0.35">
      <c r="A8" s="12" t="s">
        <v>3613</v>
      </c>
      <c r="B8" s="12" t="s">
        <v>3614</v>
      </c>
      <c r="C8" s="12" t="s">
        <v>3615</v>
      </c>
      <c r="D8" s="12" t="s">
        <v>3616</v>
      </c>
      <c r="E8" s="12" t="s">
        <v>3617</v>
      </c>
      <c r="F8" s="12" t="s">
        <v>3607</v>
      </c>
      <c r="G8" s="12" t="s">
        <v>3612</v>
      </c>
      <c r="H8" s="12" t="s">
        <v>262</v>
      </c>
    </row>
    <row r="9" spans="1:8" ht="25" x14ac:dyDescent="0.35">
      <c r="A9" s="12" t="s">
        <v>3618</v>
      </c>
      <c r="B9" s="12" t="s">
        <v>3619</v>
      </c>
      <c r="C9" s="12" t="s">
        <v>3620</v>
      </c>
      <c r="D9" s="12" t="s">
        <v>3621</v>
      </c>
      <c r="E9" s="12" t="s">
        <v>3622</v>
      </c>
      <c r="F9" s="12" t="s">
        <v>3623</v>
      </c>
      <c r="G9" s="12" t="s">
        <v>3612</v>
      </c>
      <c r="H9" s="12" t="s">
        <v>262</v>
      </c>
    </row>
    <row r="10" spans="1:8" ht="25" x14ac:dyDescent="0.35">
      <c r="A10" s="12" t="s">
        <v>3624</v>
      </c>
      <c r="B10" s="12" t="s">
        <v>3619</v>
      </c>
      <c r="C10" s="12" t="s">
        <v>3625</v>
      </c>
      <c r="D10" s="12" t="s">
        <v>3626</v>
      </c>
      <c r="E10" s="12" t="s">
        <v>3627</v>
      </c>
      <c r="F10" s="12" t="s">
        <v>3607</v>
      </c>
      <c r="G10" s="12" t="s">
        <v>3297</v>
      </c>
      <c r="H10" s="12" t="s">
        <v>262</v>
      </c>
    </row>
    <row r="11" spans="1:8" ht="25" x14ac:dyDescent="0.35">
      <c r="A11" s="12" t="s">
        <v>3628</v>
      </c>
      <c r="B11" s="12" t="s">
        <v>345</v>
      </c>
      <c r="C11" s="12" t="s">
        <v>3629</v>
      </c>
      <c r="D11" s="12" t="s">
        <v>3630</v>
      </c>
      <c r="E11" s="12" t="s">
        <v>3631</v>
      </c>
      <c r="F11" s="12" t="s">
        <v>3632</v>
      </c>
      <c r="G11" s="12" t="s">
        <v>3633</v>
      </c>
      <c r="H11" s="12" t="s">
        <v>262</v>
      </c>
    </row>
    <row r="12" spans="1:8" ht="25" x14ac:dyDescent="0.35">
      <c r="A12" s="12" t="s">
        <v>3634</v>
      </c>
      <c r="B12" s="12" t="s">
        <v>3635</v>
      </c>
      <c r="C12" s="12" t="s">
        <v>3636</v>
      </c>
      <c r="D12" s="12" t="s">
        <v>3637</v>
      </c>
      <c r="E12" s="12" t="s">
        <v>3638</v>
      </c>
      <c r="F12" s="12" t="s">
        <v>3632</v>
      </c>
      <c r="G12" s="12" t="s">
        <v>3639</v>
      </c>
      <c r="H12" s="12" t="s">
        <v>262</v>
      </c>
    </row>
    <row r="13" spans="1:8" ht="25" x14ac:dyDescent="0.35">
      <c r="A13" s="12" t="s">
        <v>3640</v>
      </c>
      <c r="B13" s="12" t="s">
        <v>3641</v>
      </c>
      <c r="C13" s="12" t="s">
        <v>3642</v>
      </c>
      <c r="D13" s="12" t="s">
        <v>3643</v>
      </c>
      <c r="E13" s="12" t="s">
        <v>3644</v>
      </c>
      <c r="F13" s="12" t="s">
        <v>3607</v>
      </c>
      <c r="G13" s="12" t="s">
        <v>3612</v>
      </c>
      <c r="H13" s="12" t="s">
        <v>262</v>
      </c>
    </row>
    <row r="14" spans="1:8" ht="25" x14ac:dyDescent="0.35">
      <c r="A14" s="12" t="s">
        <v>3645</v>
      </c>
      <c r="B14" s="12" t="s">
        <v>3646</v>
      </c>
      <c r="C14" s="12" t="s">
        <v>3647</v>
      </c>
      <c r="D14" s="12" t="s">
        <v>3648</v>
      </c>
      <c r="E14" s="12" t="s">
        <v>3649</v>
      </c>
      <c r="F14" s="12" t="s">
        <v>3650</v>
      </c>
      <c r="G14" s="12" t="s">
        <v>3651</v>
      </c>
      <c r="H14" s="12" t="s">
        <v>262</v>
      </c>
    </row>
    <row r="15" spans="1:8" ht="25" x14ac:dyDescent="0.35">
      <c r="A15" s="12" t="s">
        <v>3652</v>
      </c>
      <c r="B15" s="12" t="s">
        <v>310</v>
      </c>
      <c r="C15" s="12" t="s">
        <v>3653</v>
      </c>
      <c r="D15" s="12" t="s">
        <v>3654</v>
      </c>
      <c r="E15" s="12" t="s">
        <v>3655</v>
      </c>
      <c r="F15" s="12" t="s">
        <v>3656</v>
      </c>
      <c r="G15" s="12" t="s">
        <v>3657</v>
      </c>
      <c r="H15" s="12" t="s">
        <v>262</v>
      </c>
    </row>
    <row r="16" spans="1:8" x14ac:dyDescent="0.35">
      <c r="A16" s="12" t="s">
        <v>3658</v>
      </c>
      <c r="B16" s="12" t="s">
        <v>356</v>
      </c>
      <c r="C16" s="12" t="s">
        <v>3659</v>
      </c>
      <c r="D16" s="12" t="s">
        <v>3660</v>
      </c>
      <c r="E16" s="12" t="s">
        <v>3661</v>
      </c>
      <c r="F16" s="12" t="s">
        <v>3607</v>
      </c>
      <c r="G16" s="12" t="s">
        <v>3612</v>
      </c>
      <c r="H16" s="12" t="s">
        <v>262</v>
      </c>
    </row>
    <row r="17" spans="1:8" ht="25" x14ac:dyDescent="0.35">
      <c r="A17" s="12" t="s">
        <v>3662</v>
      </c>
      <c r="B17" s="12" t="s">
        <v>3663</v>
      </c>
      <c r="C17" s="12" t="s">
        <v>3664</v>
      </c>
      <c r="D17" s="12" t="s">
        <v>3665</v>
      </c>
      <c r="E17" s="12" t="s">
        <v>3666</v>
      </c>
      <c r="F17" s="12" t="s">
        <v>3656</v>
      </c>
      <c r="G17" s="12" t="s">
        <v>3667</v>
      </c>
      <c r="H17" s="12" t="s">
        <v>262</v>
      </c>
    </row>
    <row r="18" spans="1:8" x14ac:dyDescent="0.35">
      <c r="A18" s="12" t="s">
        <v>3668</v>
      </c>
      <c r="B18" s="12" t="s">
        <v>3669</v>
      </c>
      <c r="C18" s="12" t="s">
        <v>3670</v>
      </c>
      <c r="D18" s="12" t="s">
        <v>3671</v>
      </c>
      <c r="E18" s="12" t="s">
        <v>3672</v>
      </c>
      <c r="F18" s="12" t="s">
        <v>3656</v>
      </c>
      <c r="G18" s="12" t="s">
        <v>3673</v>
      </c>
      <c r="H18" s="12" t="s">
        <v>262</v>
      </c>
    </row>
  </sheetData>
  <autoFilter ref="A1:H18" xr:uid="{00000000-0009-0000-0000-000028000000}"/>
  <pageMargins left="0.75" right="0.75" top="1" bottom="1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37474F"/>
  </sheetPr>
  <dimension ref="A1:G14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22" customWidth="1"/>
    <col min="3" max="3" width="54" customWidth="1"/>
    <col min="4" max="4" width="44" customWidth="1"/>
    <col min="5" max="5" width="30" customWidth="1"/>
    <col min="6" max="6" width="34" customWidth="1"/>
    <col min="7" max="7" width="16" customWidth="1"/>
  </cols>
  <sheetData>
    <row r="1" spans="1:7" ht="27.75" customHeight="1" x14ac:dyDescent="0.35">
      <c r="A1" s="11" t="s">
        <v>3674</v>
      </c>
      <c r="B1" s="11" t="s">
        <v>248</v>
      </c>
      <c r="C1" s="11" t="s">
        <v>3675</v>
      </c>
      <c r="D1" s="11" t="s">
        <v>3676</v>
      </c>
      <c r="E1" s="11" t="s">
        <v>3677</v>
      </c>
      <c r="F1" s="11" t="s">
        <v>3678</v>
      </c>
      <c r="G1" s="11" t="s">
        <v>2328</v>
      </c>
    </row>
    <row r="2" spans="1:7" ht="25" x14ac:dyDescent="0.35">
      <c r="A2" s="12" t="s">
        <v>3679</v>
      </c>
      <c r="B2" s="12" t="s">
        <v>3680</v>
      </c>
      <c r="C2" s="12" t="s">
        <v>3681</v>
      </c>
      <c r="D2" s="12" t="s">
        <v>3682</v>
      </c>
      <c r="E2" s="12" t="s">
        <v>3683</v>
      </c>
      <c r="F2" s="12" t="s">
        <v>3684</v>
      </c>
      <c r="G2" s="12" t="s">
        <v>3685</v>
      </c>
    </row>
    <row r="3" spans="1:7" ht="25" x14ac:dyDescent="0.35">
      <c r="A3" s="12" t="s">
        <v>3686</v>
      </c>
      <c r="B3" s="12" t="s">
        <v>3687</v>
      </c>
      <c r="C3" s="12" t="s">
        <v>3688</v>
      </c>
      <c r="D3" s="12" t="s">
        <v>3689</v>
      </c>
      <c r="E3" s="12" t="s">
        <v>3690</v>
      </c>
      <c r="F3" s="12" t="s">
        <v>3691</v>
      </c>
      <c r="G3" s="12" t="s">
        <v>3692</v>
      </c>
    </row>
    <row r="4" spans="1:7" ht="37.5" x14ac:dyDescent="0.35">
      <c r="A4" s="12" t="s">
        <v>3693</v>
      </c>
      <c r="B4" s="12" t="s">
        <v>3694</v>
      </c>
      <c r="C4" s="12" t="s">
        <v>3695</v>
      </c>
      <c r="D4" s="12" t="s">
        <v>3696</v>
      </c>
      <c r="E4" s="12" t="s">
        <v>3697</v>
      </c>
      <c r="F4" s="12" t="s">
        <v>3698</v>
      </c>
      <c r="G4" s="12" t="s">
        <v>3699</v>
      </c>
    </row>
    <row r="5" spans="1:7" ht="37.5" x14ac:dyDescent="0.35">
      <c r="A5" s="12" t="s">
        <v>3700</v>
      </c>
      <c r="B5" s="12" t="s">
        <v>3701</v>
      </c>
      <c r="C5" s="12" t="s">
        <v>3702</v>
      </c>
      <c r="D5" s="12" t="s">
        <v>3703</v>
      </c>
      <c r="E5" s="12" t="s">
        <v>3704</v>
      </c>
      <c r="F5" s="12" t="s">
        <v>3705</v>
      </c>
      <c r="G5" s="12" t="s">
        <v>3706</v>
      </c>
    </row>
    <row r="6" spans="1:7" ht="25" x14ac:dyDescent="0.35">
      <c r="A6" s="12" t="s">
        <v>3707</v>
      </c>
      <c r="B6" s="12" t="s">
        <v>3708</v>
      </c>
      <c r="C6" s="12" t="s">
        <v>3709</v>
      </c>
      <c r="D6" s="12" t="s">
        <v>3710</v>
      </c>
      <c r="E6" s="12" t="s">
        <v>3711</v>
      </c>
      <c r="F6" s="12" t="s">
        <v>3712</v>
      </c>
      <c r="G6" s="12" t="s">
        <v>3713</v>
      </c>
    </row>
    <row r="7" spans="1:7" ht="62.5" x14ac:dyDescent="0.35">
      <c r="A7" s="12" t="s">
        <v>3714</v>
      </c>
      <c r="B7" s="12" t="s">
        <v>3715</v>
      </c>
      <c r="C7" s="12" t="s">
        <v>3716</v>
      </c>
      <c r="D7" s="12" t="s">
        <v>3717</v>
      </c>
      <c r="E7" s="12" t="s">
        <v>3718</v>
      </c>
      <c r="F7" s="12" t="s">
        <v>3719</v>
      </c>
      <c r="G7" s="12" t="s">
        <v>3720</v>
      </c>
    </row>
    <row r="8" spans="1:7" ht="37.5" x14ac:dyDescent="0.35">
      <c r="A8" s="12" t="s">
        <v>3721</v>
      </c>
      <c r="B8" s="12" t="s">
        <v>3722</v>
      </c>
      <c r="C8" s="12" t="s">
        <v>3723</v>
      </c>
      <c r="D8" s="12" t="s">
        <v>3724</v>
      </c>
      <c r="E8" s="12" t="s">
        <v>3725</v>
      </c>
      <c r="F8" s="12" t="s">
        <v>3726</v>
      </c>
      <c r="G8" s="12" t="s">
        <v>3727</v>
      </c>
    </row>
    <row r="9" spans="1:7" ht="25" x14ac:dyDescent="0.35">
      <c r="A9" s="12" t="s">
        <v>3728</v>
      </c>
      <c r="B9" s="12" t="s">
        <v>3729</v>
      </c>
      <c r="C9" s="12" t="s">
        <v>3730</v>
      </c>
      <c r="D9" s="12" t="s">
        <v>3731</v>
      </c>
      <c r="E9" s="12" t="s">
        <v>3732</v>
      </c>
      <c r="F9" s="12" t="s">
        <v>3733</v>
      </c>
      <c r="G9" s="12" t="s">
        <v>3734</v>
      </c>
    </row>
    <row r="10" spans="1:7" ht="25" x14ac:dyDescent="0.35">
      <c r="A10" s="12" t="s">
        <v>3735</v>
      </c>
      <c r="B10" s="12" t="s">
        <v>3736</v>
      </c>
      <c r="C10" s="12" t="s">
        <v>3737</v>
      </c>
      <c r="D10" s="12" t="s">
        <v>3738</v>
      </c>
      <c r="E10" s="12" t="s">
        <v>3739</v>
      </c>
      <c r="F10" s="12" t="s">
        <v>3740</v>
      </c>
      <c r="G10" s="12" t="s">
        <v>3741</v>
      </c>
    </row>
    <row r="11" spans="1:7" ht="25" x14ac:dyDescent="0.35">
      <c r="A11" s="12" t="s">
        <v>3742</v>
      </c>
      <c r="B11" s="12" t="s">
        <v>3743</v>
      </c>
      <c r="C11" s="12" t="s">
        <v>3744</v>
      </c>
      <c r="D11" s="12" t="s">
        <v>3745</v>
      </c>
      <c r="E11" s="12" t="s">
        <v>3746</v>
      </c>
      <c r="F11" s="12" t="s">
        <v>3747</v>
      </c>
      <c r="G11" s="12" t="s">
        <v>3748</v>
      </c>
    </row>
    <row r="12" spans="1:7" x14ac:dyDescent="0.35">
      <c r="A12" s="12" t="s">
        <v>3749</v>
      </c>
      <c r="B12" s="12" t="s">
        <v>3750</v>
      </c>
      <c r="C12" s="12" t="s">
        <v>3751</v>
      </c>
      <c r="D12" s="12" t="s">
        <v>3752</v>
      </c>
      <c r="E12" s="12" t="s">
        <v>3753</v>
      </c>
      <c r="F12" s="12" t="s">
        <v>3754</v>
      </c>
      <c r="G12" s="12" t="s">
        <v>3667</v>
      </c>
    </row>
    <row r="14" spans="1:7" ht="27.75" customHeight="1" x14ac:dyDescent="0.35">
      <c r="A14" s="1" t="s">
        <v>3755</v>
      </c>
      <c r="B14" s="1"/>
      <c r="C14" s="1"/>
      <c r="D14" s="1"/>
      <c r="E14" s="1"/>
      <c r="F14" s="1"/>
      <c r="G14" s="1"/>
    </row>
  </sheetData>
  <autoFilter ref="A1:G12" xr:uid="{00000000-0009-0000-0000-000029000000}"/>
  <mergeCells count="1">
    <mergeCell ref="A14:G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37474F"/>
  </sheetPr>
  <dimension ref="A1:H22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22" customWidth="1"/>
    <col min="3" max="3" width="44" customWidth="1"/>
    <col min="4" max="4" width="22" customWidth="1"/>
    <col min="5" max="5" width="46" customWidth="1"/>
    <col min="6" max="8" width="12" customWidth="1"/>
  </cols>
  <sheetData>
    <row r="1" spans="1:8" ht="27.75" customHeight="1" x14ac:dyDescent="0.35">
      <c r="A1" s="11" t="s">
        <v>3756</v>
      </c>
      <c r="B1" s="11" t="s">
        <v>923</v>
      </c>
      <c r="C1" s="11" t="s">
        <v>3757</v>
      </c>
      <c r="D1" s="11" t="s">
        <v>3758</v>
      </c>
      <c r="E1" s="11" t="s">
        <v>3759</v>
      </c>
      <c r="F1" s="11" t="s">
        <v>3760</v>
      </c>
      <c r="G1" s="11" t="s">
        <v>3761</v>
      </c>
      <c r="H1" s="11" t="s">
        <v>254</v>
      </c>
    </row>
    <row r="2" spans="1:8" x14ac:dyDescent="0.35">
      <c r="A2" s="12" t="s">
        <v>3762</v>
      </c>
      <c r="B2" s="12" t="s">
        <v>991</v>
      </c>
      <c r="C2" s="12" t="s">
        <v>3763</v>
      </c>
      <c r="D2" s="12" t="s">
        <v>3764</v>
      </c>
      <c r="E2" s="12" t="s">
        <v>3765</v>
      </c>
      <c r="F2" s="13"/>
      <c r="G2" s="13"/>
      <c r="H2" s="12" t="s">
        <v>3766</v>
      </c>
    </row>
    <row r="3" spans="1:8" x14ac:dyDescent="0.35">
      <c r="A3" s="12" t="s">
        <v>3767</v>
      </c>
      <c r="B3" s="12" t="s">
        <v>991</v>
      </c>
      <c r="C3" s="12" t="s">
        <v>3768</v>
      </c>
      <c r="D3" s="12" t="s">
        <v>3769</v>
      </c>
      <c r="E3" s="12" t="s">
        <v>3770</v>
      </c>
      <c r="F3" s="13"/>
      <c r="G3" s="13"/>
      <c r="H3" s="12" t="s">
        <v>3766</v>
      </c>
    </row>
    <row r="4" spans="1:8" x14ac:dyDescent="0.35">
      <c r="A4" s="12" t="s">
        <v>3771</v>
      </c>
      <c r="B4" s="12" t="s">
        <v>269</v>
      </c>
      <c r="C4" s="12" t="s">
        <v>3772</v>
      </c>
      <c r="D4" s="12" t="s">
        <v>3773</v>
      </c>
      <c r="E4" s="12" t="s">
        <v>3774</v>
      </c>
      <c r="F4" s="13"/>
      <c r="G4" s="13"/>
      <c r="H4" s="12" t="s">
        <v>3766</v>
      </c>
    </row>
    <row r="5" spans="1:8" x14ac:dyDescent="0.35">
      <c r="A5" s="12" t="s">
        <v>3775</v>
      </c>
      <c r="B5" s="12" t="s">
        <v>269</v>
      </c>
      <c r="C5" s="12" t="s">
        <v>3776</v>
      </c>
      <c r="D5" s="12" t="s">
        <v>3777</v>
      </c>
      <c r="E5" s="12" t="s">
        <v>3778</v>
      </c>
      <c r="F5" s="13"/>
      <c r="G5" s="13"/>
      <c r="H5" s="12" t="s">
        <v>3766</v>
      </c>
    </row>
    <row r="6" spans="1:8" x14ac:dyDescent="0.35">
      <c r="A6" s="12" t="s">
        <v>3779</v>
      </c>
      <c r="B6" s="12" t="s">
        <v>3619</v>
      </c>
      <c r="C6" s="12" t="s">
        <v>3780</v>
      </c>
      <c r="D6" s="12" t="s">
        <v>3781</v>
      </c>
      <c r="E6" s="12" t="s">
        <v>3782</v>
      </c>
      <c r="F6" s="13"/>
      <c r="G6" s="13"/>
      <c r="H6" s="12" t="s">
        <v>3766</v>
      </c>
    </row>
    <row r="7" spans="1:8" x14ac:dyDescent="0.35">
      <c r="A7" s="12" t="s">
        <v>3783</v>
      </c>
      <c r="B7" s="12" t="s">
        <v>3619</v>
      </c>
      <c r="C7" s="12" t="s">
        <v>3784</v>
      </c>
      <c r="D7" s="12" t="s">
        <v>3785</v>
      </c>
      <c r="E7" s="12" t="s">
        <v>3786</v>
      </c>
      <c r="F7" s="13"/>
      <c r="G7" s="13"/>
      <c r="H7" s="12" t="s">
        <v>3766</v>
      </c>
    </row>
    <row r="8" spans="1:8" x14ac:dyDescent="0.35">
      <c r="A8" s="12" t="s">
        <v>3787</v>
      </c>
      <c r="B8" s="12" t="s">
        <v>429</v>
      </c>
      <c r="C8" s="12" t="s">
        <v>3788</v>
      </c>
      <c r="D8" s="12" t="s">
        <v>3789</v>
      </c>
      <c r="E8" s="12" t="s">
        <v>3790</v>
      </c>
      <c r="F8" s="13"/>
      <c r="G8" s="13"/>
      <c r="H8" s="12" t="s">
        <v>3766</v>
      </c>
    </row>
    <row r="9" spans="1:8" x14ac:dyDescent="0.35">
      <c r="A9" s="12" t="s">
        <v>3791</v>
      </c>
      <c r="B9" s="12" t="s">
        <v>429</v>
      </c>
      <c r="C9" s="12" t="s">
        <v>3792</v>
      </c>
      <c r="D9" s="12" t="s">
        <v>3793</v>
      </c>
      <c r="E9" s="12" t="s">
        <v>3794</v>
      </c>
      <c r="F9" s="13"/>
      <c r="G9" s="13"/>
      <c r="H9" s="12" t="s">
        <v>3766</v>
      </c>
    </row>
    <row r="10" spans="1:8" x14ac:dyDescent="0.35">
      <c r="A10" s="12" t="s">
        <v>3795</v>
      </c>
      <c r="B10" s="12" t="s">
        <v>971</v>
      </c>
      <c r="C10" s="12" t="s">
        <v>3796</v>
      </c>
      <c r="D10" s="12" t="s">
        <v>3797</v>
      </c>
      <c r="E10" s="12" t="s">
        <v>3798</v>
      </c>
      <c r="F10" s="13"/>
      <c r="G10" s="13"/>
      <c r="H10" s="12" t="s">
        <v>3766</v>
      </c>
    </row>
    <row r="11" spans="1:8" x14ac:dyDescent="0.35">
      <c r="A11" s="12" t="s">
        <v>3799</v>
      </c>
      <c r="B11" s="12" t="s">
        <v>3800</v>
      </c>
      <c r="C11" s="12" t="s">
        <v>3801</v>
      </c>
      <c r="D11" s="12" t="s">
        <v>3802</v>
      </c>
      <c r="E11" s="12" t="s">
        <v>3803</v>
      </c>
      <c r="F11" s="13"/>
      <c r="G11" s="13"/>
      <c r="H11" s="12" t="s">
        <v>3766</v>
      </c>
    </row>
    <row r="12" spans="1:8" x14ac:dyDescent="0.35">
      <c r="A12" s="12" t="s">
        <v>3804</v>
      </c>
      <c r="B12" s="12" t="s">
        <v>3805</v>
      </c>
      <c r="C12" s="12" t="s">
        <v>3806</v>
      </c>
      <c r="D12" s="12" t="s">
        <v>3807</v>
      </c>
      <c r="E12" s="12" t="s">
        <v>3808</v>
      </c>
      <c r="F12" s="13"/>
      <c r="G12" s="13"/>
      <c r="H12" s="12" t="s">
        <v>3766</v>
      </c>
    </row>
    <row r="13" spans="1:8" x14ac:dyDescent="0.35">
      <c r="A13" s="12" t="s">
        <v>3809</v>
      </c>
      <c r="B13" s="12" t="s">
        <v>1029</v>
      </c>
      <c r="C13" s="12" t="s">
        <v>3810</v>
      </c>
      <c r="D13" s="12" t="s">
        <v>3811</v>
      </c>
      <c r="E13" s="12" t="s">
        <v>3812</v>
      </c>
      <c r="F13" s="13"/>
      <c r="G13" s="13"/>
      <c r="H13" s="12" t="s">
        <v>3766</v>
      </c>
    </row>
    <row r="14" spans="1:8" ht="25" x14ac:dyDescent="0.35">
      <c r="A14" s="12" t="s">
        <v>3813</v>
      </c>
      <c r="B14" s="12" t="s">
        <v>3814</v>
      </c>
      <c r="C14" s="12" t="s">
        <v>3815</v>
      </c>
      <c r="D14" s="12" t="s">
        <v>3816</v>
      </c>
      <c r="E14" s="12" t="s">
        <v>3817</v>
      </c>
      <c r="F14" s="13"/>
      <c r="G14" s="13"/>
      <c r="H14" s="12" t="s">
        <v>3766</v>
      </c>
    </row>
    <row r="15" spans="1:8" x14ac:dyDescent="0.35">
      <c r="A15" s="12" t="s">
        <v>3818</v>
      </c>
      <c r="B15" s="12" t="s">
        <v>257</v>
      </c>
      <c r="C15" s="12" t="s">
        <v>3819</v>
      </c>
      <c r="D15" s="12" t="s">
        <v>3820</v>
      </c>
      <c r="E15" s="12" t="s">
        <v>3821</v>
      </c>
      <c r="F15" s="13"/>
      <c r="G15" s="13"/>
      <c r="H15" s="12" t="s">
        <v>3766</v>
      </c>
    </row>
    <row r="16" spans="1:8" x14ac:dyDescent="0.35">
      <c r="A16" s="12" t="s">
        <v>3822</v>
      </c>
      <c r="B16" s="12" t="s">
        <v>269</v>
      </c>
      <c r="C16" s="12" t="s">
        <v>3823</v>
      </c>
      <c r="D16" s="12" t="s">
        <v>3797</v>
      </c>
      <c r="E16" s="12" t="s">
        <v>3824</v>
      </c>
      <c r="F16" s="13"/>
      <c r="G16" s="13"/>
      <c r="H16" s="12" t="s">
        <v>3766</v>
      </c>
    </row>
    <row r="17" spans="1:8" x14ac:dyDescent="0.35">
      <c r="A17" s="12" t="s">
        <v>3825</v>
      </c>
      <c r="B17" s="12" t="s">
        <v>991</v>
      </c>
      <c r="C17" s="12" t="s">
        <v>3826</v>
      </c>
      <c r="D17" s="12" t="s">
        <v>3781</v>
      </c>
      <c r="E17" s="12" t="s">
        <v>3827</v>
      </c>
      <c r="F17" s="13"/>
      <c r="G17" s="13"/>
      <c r="H17" s="12" t="s">
        <v>3766</v>
      </c>
    </row>
    <row r="18" spans="1:8" x14ac:dyDescent="0.35">
      <c r="A18" s="12" t="s">
        <v>3828</v>
      </c>
      <c r="B18" s="12" t="s">
        <v>3829</v>
      </c>
      <c r="C18" s="12" t="s">
        <v>3830</v>
      </c>
      <c r="D18" s="12" t="s">
        <v>3781</v>
      </c>
      <c r="E18" s="12" t="s">
        <v>3831</v>
      </c>
      <c r="F18" s="13"/>
      <c r="G18" s="13"/>
      <c r="H18" s="12" t="s">
        <v>3766</v>
      </c>
    </row>
    <row r="19" spans="1:8" ht="25" x14ac:dyDescent="0.35">
      <c r="A19" s="12" t="s">
        <v>3832</v>
      </c>
      <c r="B19" s="12" t="s">
        <v>273</v>
      </c>
      <c r="C19" s="12" t="s">
        <v>3833</v>
      </c>
      <c r="D19" s="12" t="s">
        <v>3834</v>
      </c>
      <c r="E19" s="12" t="s">
        <v>3835</v>
      </c>
      <c r="F19" s="13"/>
      <c r="G19" s="13"/>
      <c r="H19" s="12" t="s">
        <v>3766</v>
      </c>
    </row>
    <row r="20" spans="1:8" ht="25" x14ac:dyDescent="0.35">
      <c r="A20" s="12" t="s">
        <v>3836</v>
      </c>
      <c r="B20" s="12" t="s">
        <v>3805</v>
      </c>
      <c r="C20" s="12" t="s">
        <v>3837</v>
      </c>
      <c r="D20" s="12" t="s">
        <v>3838</v>
      </c>
      <c r="E20" s="12" t="s">
        <v>3839</v>
      </c>
      <c r="F20" s="13"/>
      <c r="G20" s="13"/>
      <c r="H20" s="12" t="s">
        <v>3766</v>
      </c>
    </row>
    <row r="22" spans="1:8" ht="27.75" customHeight="1" x14ac:dyDescent="0.35">
      <c r="A22" s="1" t="s">
        <v>3840</v>
      </c>
      <c r="B22" s="1"/>
      <c r="C22" s="1"/>
      <c r="D22" s="1"/>
      <c r="E22" s="1"/>
      <c r="F22" s="1"/>
      <c r="G22" s="1"/>
      <c r="H22" s="1"/>
    </row>
  </sheetData>
  <autoFilter ref="A1:H20" xr:uid="{00000000-0009-0000-0000-00002A000000}"/>
  <mergeCells count="1">
    <mergeCell ref="A22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37474F"/>
  </sheetPr>
  <dimension ref="A1:F24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6" customWidth="1"/>
    <col min="2" max="2" width="18" customWidth="1"/>
    <col min="3" max="3" width="44" customWidth="1"/>
    <col min="4" max="5" width="52" customWidth="1"/>
    <col min="6" max="6" width="12" customWidth="1"/>
  </cols>
  <sheetData>
    <row r="1" spans="1:6" ht="27.75" customHeight="1" x14ac:dyDescent="0.35">
      <c r="A1" s="11" t="s">
        <v>3841</v>
      </c>
      <c r="B1" s="11" t="s">
        <v>138</v>
      </c>
      <c r="C1" s="11" t="s">
        <v>3842</v>
      </c>
      <c r="D1" s="11" t="s">
        <v>3843</v>
      </c>
      <c r="E1" s="11" t="s">
        <v>3844</v>
      </c>
      <c r="F1" s="11" t="s">
        <v>3845</v>
      </c>
    </row>
    <row r="2" spans="1:6" x14ac:dyDescent="0.35">
      <c r="A2" s="12" t="s">
        <v>2332</v>
      </c>
      <c r="B2" s="12" t="s">
        <v>257</v>
      </c>
      <c r="C2" s="12" t="s">
        <v>3846</v>
      </c>
      <c r="D2" s="12" t="s">
        <v>3847</v>
      </c>
      <c r="E2" s="12" t="s">
        <v>3848</v>
      </c>
      <c r="F2" s="12" t="s">
        <v>2472</v>
      </c>
    </row>
    <row r="3" spans="1:6" x14ac:dyDescent="0.35">
      <c r="A3" s="12" t="s">
        <v>3849</v>
      </c>
      <c r="B3" s="12" t="s">
        <v>257</v>
      </c>
      <c r="C3" s="12" t="s">
        <v>3850</v>
      </c>
      <c r="D3" s="12" t="s">
        <v>3851</v>
      </c>
      <c r="E3" s="12" t="s">
        <v>3852</v>
      </c>
      <c r="F3" s="12" t="s">
        <v>3853</v>
      </c>
    </row>
    <row r="4" spans="1:6" x14ac:dyDescent="0.35">
      <c r="A4" s="12" t="s">
        <v>3854</v>
      </c>
      <c r="B4" s="12" t="s">
        <v>257</v>
      </c>
      <c r="C4" s="12" t="s">
        <v>3855</v>
      </c>
      <c r="D4" s="12" t="s">
        <v>3856</v>
      </c>
      <c r="E4" s="12" t="s">
        <v>3857</v>
      </c>
      <c r="F4" s="12" t="s">
        <v>2472</v>
      </c>
    </row>
    <row r="5" spans="1:6" x14ac:dyDescent="0.35">
      <c r="A5" s="12" t="s">
        <v>3858</v>
      </c>
      <c r="B5" s="12" t="s">
        <v>264</v>
      </c>
      <c r="C5" s="12" t="s">
        <v>3859</v>
      </c>
      <c r="D5" s="12" t="s">
        <v>3860</v>
      </c>
      <c r="E5" s="12" t="s">
        <v>3861</v>
      </c>
      <c r="F5" s="12" t="s">
        <v>3862</v>
      </c>
    </row>
    <row r="6" spans="1:6" ht="25" x14ac:dyDescent="0.35">
      <c r="A6" s="12" t="s">
        <v>3863</v>
      </c>
      <c r="B6" s="12" t="s">
        <v>264</v>
      </c>
      <c r="C6" s="12" t="s">
        <v>3864</v>
      </c>
      <c r="D6" s="12" t="s">
        <v>3865</v>
      </c>
      <c r="E6" s="12" t="s">
        <v>3866</v>
      </c>
      <c r="F6" s="12" t="s">
        <v>3867</v>
      </c>
    </row>
    <row r="7" spans="1:6" x14ac:dyDescent="0.35">
      <c r="A7" s="12" t="s">
        <v>3868</v>
      </c>
      <c r="B7" s="12" t="s">
        <v>264</v>
      </c>
      <c r="C7" s="12" t="s">
        <v>3869</v>
      </c>
      <c r="D7" s="12" t="s">
        <v>3870</v>
      </c>
      <c r="E7" s="12" t="s">
        <v>3871</v>
      </c>
      <c r="F7" s="12" t="s">
        <v>2472</v>
      </c>
    </row>
    <row r="8" spans="1:6" x14ac:dyDescent="0.35">
      <c r="A8" s="12" t="s">
        <v>3872</v>
      </c>
      <c r="B8" s="12" t="s">
        <v>264</v>
      </c>
      <c r="C8" s="12" t="s">
        <v>3873</v>
      </c>
      <c r="D8" s="12" t="s">
        <v>3874</v>
      </c>
      <c r="E8" s="12" t="s">
        <v>3875</v>
      </c>
      <c r="F8" s="12" t="s">
        <v>3876</v>
      </c>
    </row>
    <row r="9" spans="1:6" x14ac:dyDescent="0.35">
      <c r="A9" s="12" t="s">
        <v>3877</v>
      </c>
      <c r="B9" s="12" t="s">
        <v>264</v>
      </c>
      <c r="C9" s="12" t="s">
        <v>3878</v>
      </c>
      <c r="D9" s="12" t="s">
        <v>3879</v>
      </c>
      <c r="E9" s="12" t="s">
        <v>3880</v>
      </c>
      <c r="F9" s="12" t="s">
        <v>3876</v>
      </c>
    </row>
    <row r="10" spans="1:6" x14ac:dyDescent="0.35">
      <c r="A10" s="12" t="s">
        <v>3881</v>
      </c>
      <c r="B10" s="12" t="s">
        <v>294</v>
      </c>
      <c r="C10" s="12" t="s">
        <v>3882</v>
      </c>
      <c r="D10" s="12" t="s">
        <v>3883</v>
      </c>
      <c r="E10" s="12" t="s">
        <v>3884</v>
      </c>
      <c r="F10" s="12" t="s">
        <v>2472</v>
      </c>
    </row>
    <row r="11" spans="1:6" x14ac:dyDescent="0.35">
      <c r="A11" s="12" t="s">
        <v>2390</v>
      </c>
      <c r="B11" s="12" t="s">
        <v>294</v>
      </c>
      <c r="C11" s="12" t="s">
        <v>3885</v>
      </c>
      <c r="D11" s="12" t="s">
        <v>3886</v>
      </c>
      <c r="E11" s="12" t="s">
        <v>3887</v>
      </c>
      <c r="F11" s="12" t="s">
        <v>2472</v>
      </c>
    </row>
    <row r="12" spans="1:6" x14ac:dyDescent="0.35">
      <c r="A12" s="12" t="s">
        <v>2382</v>
      </c>
      <c r="B12" s="12" t="s">
        <v>1218</v>
      </c>
      <c r="C12" s="12" t="s">
        <v>3888</v>
      </c>
      <c r="D12" s="12" t="s">
        <v>3889</v>
      </c>
      <c r="E12" s="12" t="s">
        <v>3890</v>
      </c>
      <c r="F12" s="12" t="s">
        <v>2472</v>
      </c>
    </row>
    <row r="13" spans="1:6" x14ac:dyDescent="0.35">
      <c r="A13" s="12" t="s">
        <v>3891</v>
      </c>
      <c r="B13" s="12" t="s">
        <v>1218</v>
      </c>
      <c r="C13" s="12" t="s">
        <v>3892</v>
      </c>
      <c r="D13" s="12" t="s">
        <v>3893</v>
      </c>
      <c r="E13" s="12" t="s">
        <v>3894</v>
      </c>
      <c r="F13" s="12" t="s">
        <v>2472</v>
      </c>
    </row>
    <row r="14" spans="1:6" x14ac:dyDescent="0.35">
      <c r="A14" s="12" t="s">
        <v>2364</v>
      </c>
      <c r="B14" s="12" t="s">
        <v>269</v>
      </c>
      <c r="C14" s="12" t="s">
        <v>3895</v>
      </c>
      <c r="D14" s="12" t="s">
        <v>3896</v>
      </c>
      <c r="E14" s="12" t="s">
        <v>3897</v>
      </c>
      <c r="F14" s="12" t="s">
        <v>3876</v>
      </c>
    </row>
    <row r="15" spans="1:6" x14ac:dyDescent="0.35">
      <c r="A15" s="12" t="s">
        <v>3898</v>
      </c>
      <c r="B15" s="12" t="s">
        <v>269</v>
      </c>
      <c r="C15" s="12" t="s">
        <v>3899</v>
      </c>
      <c r="D15" s="12" t="s">
        <v>3900</v>
      </c>
      <c r="E15" s="12" t="s">
        <v>3901</v>
      </c>
      <c r="F15" s="12" t="s">
        <v>3876</v>
      </c>
    </row>
    <row r="16" spans="1:6" x14ac:dyDescent="0.35">
      <c r="A16" s="12" t="s">
        <v>3902</v>
      </c>
      <c r="B16" s="12" t="s">
        <v>301</v>
      </c>
      <c r="C16" s="12" t="s">
        <v>3903</v>
      </c>
      <c r="D16" s="12" t="s">
        <v>3904</v>
      </c>
      <c r="E16" s="12" t="s">
        <v>3905</v>
      </c>
      <c r="F16" s="12" t="s">
        <v>2472</v>
      </c>
    </row>
    <row r="17" spans="1:6" x14ac:dyDescent="0.35">
      <c r="A17" s="12" t="s">
        <v>2418</v>
      </c>
      <c r="B17" s="12" t="s">
        <v>306</v>
      </c>
      <c r="C17" s="12" t="s">
        <v>3906</v>
      </c>
      <c r="D17" s="12" t="s">
        <v>3907</v>
      </c>
      <c r="E17" s="12" t="s">
        <v>3908</v>
      </c>
      <c r="F17" s="12" t="s">
        <v>2472</v>
      </c>
    </row>
    <row r="18" spans="1:6" ht="25" x14ac:dyDescent="0.35">
      <c r="A18" s="12" t="s">
        <v>3909</v>
      </c>
      <c r="B18" s="12" t="s">
        <v>1029</v>
      </c>
      <c r="C18" s="12" t="s">
        <v>3910</v>
      </c>
      <c r="D18" s="12" t="s">
        <v>3911</v>
      </c>
      <c r="E18" s="12" t="s">
        <v>3912</v>
      </c>
      <c r="F18" s="12" t="s">
        <v>3913</v>
      </c>
    </row>
    <row r="19" spans="1:6" x14ac:dyDescent="0.35">
      <c r="A19" s="12" t="s">
        <v>3914</v>
      </c>
      <c r="B19" s="12" t="s">
        <v>1029</v>
      </c>
      <c r="C19" s="12" t="s">
        <v>3915</v>
      </c>
      <c r="D19" s="12" t="s">
        <v>3916</v>
      </c>
      <c r="E19" s="12" t="s">
        <v>3917</v>
      </c>
      <c r="F19" s="12" t="s">
        <v>3918</v>
      </c>
    </row>
    <row r="20" spans="1:6" x14ac:dyDescent="0.35">
      <c r="A20" s="12" t="s">
        <v>3919</v>
      </c>
      <c r="B20" s="12" t="s">
        <v>3920</v>
      </c>
      <c r="C20" s="12" t="s">
        <v>3921</v>
      </c>
      <c r="D20" s="12" t="s">
        <v>3922</v>
      </c>
      <c r="E20" s="12" t="s">
        <v>3923</v>
      </c>
      <c r="F20" s="12" t="s">
        <v>2472</v>
      </c>
    </row>
    <row r="21" spans="1:6" x14ac:dyDescent="0.35">
      <c r="A21" s="12" t="s">
        <v>3924</v>
      </c>
      <c r="B21" s="12" t="s">
        <v>3925</v>
      </c>
      <c r="C21" s="12" t="s">
        <v>3926</v>
      </c>
      <c r="D21" s="12" t="s">
        <v>3927</v>
      </c>
      <c r="E21" s="12" t="s">
        <v>3928</v>
      </c>
      <c r="F21" s="12" t="s">
        <v>3929</v>
      </c>
    </row>
    <row r="22" spans="1:6" x14ac:dyDescent="0.35">
      <c r="A22" s="12" t="s">
        <v>3930</v>
      </c>
      <c r="B22" s="12" t="s">
        <v>1637</v>
      </c>
      <c r="C22" s="12" t="s">
        <v>3931</v>
      </c>
      <c r="D22" s="12" t="s">
        <v>3932</v>
      </c>
      <c r="E22" s="12" t="s">
        <v>3933</v>
      </c>
      <c r="F22" s="12" t="s">
        <v>2472</v>
      </c>
    </row>
    <row r="24" spans="1:6" ht="27.75" customHeight="1" x14ac:dyDescent="0.35">
      <c r="A24" s="1" t="s">
        <v>3934</v>
      </c>
      <c r="B24" s="1"/>
      <c r="C24" s="1"/>
      <c r="D24" s="1"/>
      <c r="E24" s="1"/>
      <c r="F24" s="1"/>
    </row>
  </sheetData>
  <autoFilter ref="A1:F22" xr:uid="{00000000-0009-0000-0000-00002B000000}"/>
  <mergeCells count="1">
    <mergeCell ref="A24:F24"/>
  </mergeCells>
  <pageMargins left="0.75" right="0.75" top="1" bottom="1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37474F"/>
  </sheetPr>
  <dimension ref="A1:G14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7" customWidth="1"/>
    <col min="2" max="2" width="18" customWidth="1"/>
    <col min="3" max="3" width="50" customWidth="1"/>
    <col min="4" max="4" width="40" customWidth="1"/>
    <col min="5" max="5" width="46" customWidth="1"/>
    <col min="6" max="7" width="12" customWidth="1"/>
  </cols>
  <sheetData>
    <row r="1" spans="1:7" ht="27.75" customHeight="1" x14ac:dyDescent="0.35">
      <c r="A1" s="11" t="s">
        <v>1852</v>
      </c>
      <c r="B1" s="11" t="s">
        <v>1117</v>
      </c>
      <c r="C1" s="11" t="s">
        <v>728</v>
      </c>
      <c r="D1" s="11" t="s">
        <v>3935</v>
      </c>
      <c r="E1" s="11" t="s">
        <v>3936</v>
      </c>
      <c r="F1" s="11" t="s">
        <v>619</v>
      </c>
      <c r="G1" s="11" t="s">
        <v>254</v>
      </c>
    </row>
    <row r="2" spans="1:7" ht="25" x14ac:dyDescent="0.35">
      <c r="A2" s="12">
        <v>1</v>
      </c>
      <c r="B2" s="12" t="s">
        <v>3937</v>
      </c>
      <c r="C2" s="12" t="s">
        <v>3938</v>
      </c>
      <c r="D2" s="12" t="s">
        <v>3939</v>
      </c>
      <c r="E2" s="12" t="s">
        <v>3940</v>
      </c>
      <c r="F2" s="12" t="s">
        <v>625</v>
      </c>
      <c r="G2" s="12" t="s">
        <v>262</v>
      </c>
    </row>
    <row r="3" spans="1:7" ht="25" x14ac:dyDescent="0.35">
      <c r="A3" s="12">
        <v>2</v>
      </c>
      <c r="B3" s="12" t="s">
        <v>3941</v>
      </c>
      <c r="C3" s="12" t="s">
        <v>3942</v>
      </c>
      <c r="D3" s="12" t="s">
        <v>3943</v>
      </c>
      <c r="E3" s="12" t="s">
        <v>3944</v>
      </c>
      <c r="F3" s="12" t="s">
        <v>625</v>
      </c>
      <c r="G3" s="12" t="s">
        <v>262</v>
      </c>
    </row>
    <row r="4" spans="1:7" ht="25" x14ac:dyDescent="0.35">
      <c r="A4" s="12">
        <v>3</v>
      </c>
      <c r="B4" s="12" t="s">
        <v>3607</v>
      </c>
      <c r="C4" s="12" t="s">
        <v>3945</v>
      </c>
      <c r="D4" s="12" t="s">
        <v>3946</v>
      </c>
      <c r="E4" s="12" t="s">
        <v>3947</v>
      </c>
      <c r="F4" s="12" t="s">
        <v>625</v>
      </c>
      <c r="G4" s="12" t="s">
        <v>262</v>
      </c>
    </row>
    <row r="5" spans="1:7" ht="25" x14ac:dyDescent="0.35">
      <c r="A5" s="12">
        <v>4</v>
      </c>
      <c r="B5" s="12" t="s">
        <v>3948</v>
      </c>
      <c r="C5" s="12" t="s">
        <v>3949</v>
      </c>
      <c r="D5" s="12" t="s">
        <v>3950</v>
      </c>
      <c r="E5" s="12" t="s">
        <v>3951</v>
      </c>
      <c r="F5" s="12" t="s">
        <v>625</v>
      </c>
      <c r="G5" s="12" t="s">
        <v>262</v>
      </c>
    </row>
    <row r="6" spans="1:7" x14ac:dyDescent="0.35">
      <c r="A6" s="12">
        <v>5</v>
      </c>
      <c r="B6" s="12" t="s">
        <v>3952</v>
      </c>
      <c r="C6" s="12" t="s">
        <v>3953</v>
      </c>
      <c r="D6" s="12" t="s">
        <v>3954</v>
      </c>
      <c r="E6" s="12" t="s">
        <v>3955</v>
      </c>
      <c r="F6" s="12" t="s">
        <v>625</v>
      </c>
      <c r="G6" s="12" t="s">
        <v>262</v>
      </c>
    </row>
    <row r="7" spans="1:7" ht="25" x14ac:dyDescent="0.35">
      <c r="A7" s="12">
        <v>6</v>
      </c>
      <c r="B7" s="12" t="s">
        <v>3956</v>
      </c>
      <c r="C7" s="12" t="s">
        <v>3957</v>
      </c>
      <c r="D7" s="12" t="s">
        <v>3958</v>
      </c>
      <c r="E7" s="12" t="s">
        <v>3959</v>
      </c>
      <c r="F7" s="12" t="s">
        <v>625</v>
      </c>
      <c r="G7" s="12" t="s">
        <v>262</v>
      </c>
    </row>
    <row r="8" spans="1:7" x14ac:dyDescent="0.35">
      <c r="A8" s="12">
        <v>7</v>
      </c>
      <c r="B8" s="12" t="s">
        <v>3401</v>
      </c>
      <c r="C8" s="12" t="s">
        <v>3960</v>
      </c>
      <c r="D8" s="12" t="s">
        <v>3961</v>
      </c>
      <c r="E8" s="12" t="s">
        <v>3962</v>
      </c>
      <c r="F8" s="12" t="s">
        <v>625</v>
      </c>
      <c r="G8" s="12" t="s">
        <v>262</v>
      </c>
    </row>
    <row r="9" spans="1:7" ht="25" x14ac:dyDescent="0.35">
      <c r="A9" s="12">
        <v>8</v>
      </c>
      <c r="B9" s="12" t="s">
        <v>3963</v>
      </c>
      <c r="C9" s="12" t="s">
        <v>3964</v>
      </c>
      <c r="D9" s="12" t="s">
        <v>3965</v>
      </c>
      <c r="E9" s="12" t="s">
        <v>3966</v>
      </c>
      <c r="F9" s="12" t="s">
        <v>625</v>
      </c>
      <c r="G9" s="12" t="s">
        <v>262</v>
      </c>
    </row>
    <row r="10" spans="1:7" ht="25" x14ac:dyDescent="0.35">
      <c r="A10" s="12">
        <v>9</v>
      </c>
      <c r="B10" s="12" t="s">
        <v>3967</v>
      </c>
      <c r="C10" s="12" t="s">
        <v>3968</v>
      </c>
      <c r="D10" s="12" t="s">
        <v>3969</v>
      </c>
      <c r="E10" s="12" t="s">
        <v>3970</v>
      </c>
      <c r="F10" s="12" t="s">
        <v>625</v>
      </c>
      <c r="G10" s="12" t="s">
        <v>262</v>
      </c>
    </row>
    <row r="11" spans="1:7" ht="25" x14ac:dyDescent="0.35">
      <c r="A11" s="12">
        <v>10</v>
      </c>
      <c r="B11" s="12" t="s">
        <v>3971</v>
      </c>
      <c r="C11" s="12" t="s">
        <v>3972</v>
      </c>
      <c r="D11" s="12" t="s">
        <v>3973</v>
      </c>
      <c r="E11" s="12" t="s">
        <v>3974</v>
      </c>
      <c r="F11" s="12" t="s">
        <v>625</v>
      </c>
      <c r="G11" s="12" t="s">
        <v>262</v>
      </c>
    </row>
    <row r="12" spans="1:7" ht="25" x14ac:dyDescent="0.35">
      <c r="A12" s="12">
        <v>11</v>
      </c>
      <c r="B12" s="12" t="s">
        <v>3975</v>
      </c>
      <c r="C12" s="12" t="s">
        <v>3976</v>
      </c>
      <c r="D12" s="12" t="s">
        <v>3977</v>
      </c>
      <c r="E12" s="12" t="s">
        <v>3978</v>
      </c>
      <c r="F12" s="12" t="s">
        <v>625</v>
      </c>
      <c r="G12" s="12" t="s">
        <v>262</v>
      </c>
    </row>
    <row r="13" spans="1:7" ht="25" x14ac:dyDescent="0.35">
      <c r="A13" s="12">
        <v>12</v>
      </c>
      <c r="B13" s="12" t="s">
        <v>114</v>
      </c>
      <c r="C13" s="12" t="s">
        <v>3979</v>
      </c>
      <c r="D13" s="12" t="s">
        <v>3980</v>
      </c>
      <c r="E13" s="12" t="s">
        <v>3981</v>
      </c>
      <c r="F13" s="12" t="s">
        <v>625</v>
      </c>
      <c r="G13" s="12" t="s">
        <v>262</v>
      </c>
    </row>
    <row r="14" spans="1:7" ht="25" x14ac:dyDescent="0.35">
      <c r="A14" s="12">
        <v>13</v>
      </c>
      <c r="B14" s="12" t="s">
        <v>3982</v>
      </c>
      <c r="C14" s="12" t="s">
        <v>3983</v>
      </c>
      <c r="D14" s="12" t="s">
        <v>3984</v>
      </c>
      <c r="E14" s="12" t="s">
        <v>3985</v>
      </c>
      <c r="F14" s="12" t="s">
        <v>625</v>
      </c>
      <c r="G14" s="12" t="s">
        <v>262</v>
      </c>
    </row>
  </sheetData>
  <autoFilter ref="A1:G14" xr:uid="{00000000-0009-0000-0000-00002C000000}"/>
  <pageMargins left="0.75" right="0.75" top="1" bottom="1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37474F"/>
  </sheetPr>
  <dimension ref="A1:G1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0" customWidth="1"/>
    <col min="2" max="2" width="50" customWidth="1"/>
    <col min="3" max="3" width="46" customWidth="1"/>
    <col min="4" max="4" width="34" customWidth="1"/>
    <col min="5" max="5" width="14" customWidth="1"/>
    <col min="6" max="6" width="22" customWidth="1"/>
    <col min="7" max="7" width="36" customWidth="1"/>
  </cols>
  <sheetData>
    <row r="1" spans="1:7" ht="27.75" customHeight="1" x14ac:dyDescent="0.35">
      <c r="A1" s="11" t="s">
        <v>3986</v>
      </c>
      <c r="B1" s="11" t="s">
        <v>3675</v>
      </c>
      <c r="C1" s="11" t="s">
        <v>3987</v>
      </c>
      <c r="D1" s="11" t="s">
        <v>3988</v>
      </c>
      <c r="E1" s="11" t="s">
        <v>3989</v>
      </c>
      <c r="F1" s="11" t="s">
        <v>3990</v>
      </c>
      <c r="G1" s="11" t="s">
        <v>3991</v>
      </c>
    </row>
    <row r="2" spans="1:7" ht="25" x14ac:dyDescent="0.35">
      <c r="A2" s="12" t="s">
        <v>3992</v>
      </c>
      <c r="B2" s="12" t="s">
        <v>3993</v>
      </c>
      <c r="C2" s="12" t="s">
        <v>3994</v>
      </c>
      <c r="D2" s="12" t="s">
        <v>3995</v>
      </c>
      <c r="E2" s="12" t="s">
        <v>3996</v>
      </c>
      <c r="F2" s="12" t="s">
        <v>3997</v>
      </c>
      <c r="G2" s="12" t="s">
        <v>3998</v>
      </c>
    </row>
    <row r="3" spans="1:7" ht="25" x14ac:dyDescent="0.35">
      <c r="A3" s="12" t="s">
        <v>3999</v>
      </c>
      <c r="B3" s="12" t="s">
        <v>4000</v>
      </c>
      <c r="C3" s="12" t="s">
        <v>4001</v>
      </c>
      <c r="D3" s="12" t="s">
        <v>4002</v>
      </c>
      <c r="E3" s="12" t="s">
        <v>2582</v>
      </c>
      <c r="F3" s="12" t="s">
        <v>4003</v>
      </c>
      <c r="G3" s="12" t="s">
        <v>4004</v>
      </c>
    </row>
    <row r="4" spans="1:7" ht="25" x14ac:dyDescent="0.35">
      <c r="A4" s="12" t="s">
        <v>4005</v>
      </c>
      <c r="B4" s="12" t="s">
        <v>4006</v>
      </c>
      <c r="C4" s="12" t="s">
        <v>4007</v>
      </c>
      <c r="D4" s="12" t="s">
        <v>4008</v>
      </c>
      <c r="E4" s="12" t="s">
        <v>4009</v>
      </c>
      <c r="F4" s="12" t="s">
        <v>4010</v>
      </c>
      <c r="G4" s="12" t="s">
        <v>4011</v>
      </c>
    </row>
    <row r="5" spans="1:7" ht="25" x14ac:dyDescent="0.35">
      <c r="A5" s="12" t="s">
        <v>4012</v>
      </c>
      <c r="B5" s="12" t="s">
        <v>4013</v>
      </c>
      <c r="C5" s="12" t="s">
        <v>4014</v>
      </c>
      <c r="D5" s="12" t="s">
        <v>4015</v>
      </c>
      <c r="E5" s="12" t="s">
        <v>4016</v>
      </c>
      <c r="F5" s="12" t="s">
        <v>335</v>
      </c>
      <c r="G5" s="12" t="s">
        <v>4017</v>
      </c>
    </row>
    <row r="6" spans="1:7" ht="25" x14ac:dyDescent="0.35">
      <c r="A6" s="12" t="s">
        <v>4018</v>
      </c>
      <c r="B6" s="12" t="s">
        <v>4019</v>
      </c>
      <c r="C6" s="12" t="s">
        <v>4020</v>
      </c>
      <c r="D6" s="12" t="s">
        <v>4021</v>
      </c>
      <c r="E6" s="12" t="s">
        <v>4022</v>
      </c>
      <c r="F6" s="12" t="s">
        <v>3997</v>
      </c>
      <c r="G6" s="12" t="s">
        <v>4023</v>
      </c>
    </row>
    <row r="7" spans="1:7" ht="25" x14ac:dyDescent="0.35">
      <c r="A7" s="12" t="s">
        <v>4024</v>
      </c>
      <c r="B7" s="12" t="s">
        <v>4025</v>
      </c>
      <c r="C7" s="12" t="s">
        <v>4026</v>
      </c>
      <c r="D7" s="12" t="s">
        <v>4027</v>
      </c>
      <c r="E7" s="12" t="s">
        <v>3996</v>
      </c>
      <c r="F7" s="12" t="s">
        <v>335</v>
      </c>
      <c r="G7" s="12" t="s">
        <v>4028</v>
      </c>
    </row>
    <row r="8" spans="1:7" ht="25" x14ac:dyDescent="0.35">
      <c r="A8" s="12" t="s">
        <v>4029</v>
      </c>
      <c r="B8" s="12" t="s">
        <v>4030</v>
      </c>
      <c r="C8" s="12" t="s">
        <v>4031</v>
      </c>
      <c r="D8" s="12" t="s">
        <v>4032</v>
      </c>
      <c r="E8" s="12" t="s">
        <v>4033</v>
      </c>
      <c r="F8" s="12" t="s">
        <v>3997</v>
      </c>
      <c r="G8" s="12" t="s">
        <v>4034</v>
      </c>
    </row>
    <row r="9" spans="1:7" ht="25" x14ac:dyDescent="0.35">
      <c r="A9" s="12" t="s">
        <v>4035</v>
      </c>
      <c r="B9" s="12" t="s">
        <v>4036</v>
      </c>
      <c r="C9" s="12" t="s">
        <v>4037</v>
      </c>
      <c r="D9" s="12" t="s">
        <v>388</v>
      </c>
      <c r="E9" s="12" t="s">
        <v>388</v>
      </c>
      <c r="F9" s="12" t="s">
        <v>388</v>
      </c>
      <c r="G9" s="12" t="s">
        <v>4038</v>
      </c>
    </row>
    <row r="11" spans="1:7" ht="27.75" customHeight="1" x14ac:dyDescent="0.35">
      <c r="A11" s="1" t="s">
        <v>4039</v>
      </c>
      <c r="B11" s="1"/>
      <c r="C11" s="1"/>
      <c r="D11" s="1"/>
      <c r="E11" s="1"/>
      <c r="F11" s="1"/>
      <c r="G11" s="1"/>
    </row>
  </sheetData>
  <autoFilter ref="A1:G9" xr:uid="{00000000-0009-0000-0000-00002D000000}"/>
  <mergeCells count="1">
    <mergeCell ref="A11:G11"/>
  </mergeCells>
  <pageMargins left="0.75" right="0.75" top="1" bottom="1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37474F"/>
  </sheetPr>
  <dimension ref="A1:F15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8" customWidth="1"/>
    <col min="2" max="3" width="40" customWidth="1"/>
    <col min="4" max="5" width="34" customWidth="1"/>
    <col min="6" max="6" width="26" customWidth="1"/>
  </cols>
  <sheetData>
    <row r="1" spans="1:6" ht="27.75" customHeight="1" x14ac:dyDescent="0.35">
      <c r="A1" s="11" t="s">
        <v>1238</v>
      </c>
      <c r="B1" s="11" t="s">
        <v>4040</v>
      </c>
      <c r="C1" s="11" t="s">
        <v>4041</v>
      </c>
      <c r="D1" s="11" t="s">
        <v>4042</v>
      </c>
      <c r="E1" s="11" t="s">
        <v>4043</v>
      </c>
      <c r="F1" s="11" t="s">
        <v>4044</v>
      </c>
    </row>
    <row r="2" spans="1:6" ht="25" x14ac:dyDescent="0.35">
      <c r="A2" s="12" t="s">
        <v>4045</v>
      </c>
      <c r="B2" s="12" t="s">
        <v>4046</v>
      </c>
      <c r="C2" s="12" t="s">
        <v>4047</v>
      </c>
      <c r="D2" s="12" t="s">
        <v>4048</v>
      </c>
      <c r="E2" s="12" t="s">
        <v>4049</v>
      </c>
      <c r="F2" s="12" t="s">
        <v>4050</v>
      </c>
    </row>
    <row r="3" spans="1:6" x14ac:dyDescent="0.35">
      <c r="A3" s="12" t="s">
        <v>4051</v>
      </c>
      <c r="B3" s="12" t="s">
        <v>4052</v>
      </c>
      <c r="C3" s="12" t="s">
        <v>4053</v>
      </c>
      <c r="D3" s="12" t="s">
        <v>4054</v>
      </c>
      <c r="E3" s="12" t="s">
        <v>4055</v>
      </c>
      <c r="F3" s="12" t="s">
        <v>4056</v>
      </c>
    </row>
    <row r="4" spans="1:6" x14ac:dyDescent="0.35">
      <c r="A4" s="12" t="s">
        <v>4051</v>
      </c>
      <c r="B4" s="12" t="s">
        <v>4057</v>
      </c>
      <c r="C4" s="12" t="s">
        <v>4058</v>
      </c>
      <c r="D4" s="12" t="s">
        <v>4059</v>
      </c>
      <c r="E4" s="12" t="s">
        <v>4060</v>
      </c>
      <c r="F4" s="12" t="s">
        <v>4061</v>
      </c>
    </row>
    <row r="5" spans="1:6" ht="25" x14ac:dyDescent="0.35">
      <c r="A5" s="12" t="s">
        <v>4062</v>
      </c>
      <c r="B5" s="12" t="s">
        <v>4063</v>
      </c>
      <c r="C5" s="12" t="s">
        <v>4064</v>
      </c>
      <c r="D5" s="12" t="s">
        <v>4065</v>
      </c>
      <c r="E5" s="12" t="s">
        <v>4066</v>
      </c>
      <c r="F5" s="12" t="s">
        <v>4061</v>
      </c>
    </row>
    <row r="6" spans="1:6" x14ac:dyDescent="0.35">
      <c r="A6" s="12" t="s">
        <v>4067</v>
      </c>
      <c r="B6" s="12" t="s">
        <v>4068</v>
      </c>
      <c r="C6" s="12" t="s">
        <v>4069</v>
      </c>
      <c r="D6" s="12" t="s">
        <v>4070</v>
      </c>
      <c r="E6" s="12" t="s">
        <v>4071</v>
      </c>
      <c r="F6" s="12" t="s">
        <v>4072</v>
      </c>
    </row>
    <row r="7" spans="1:6" ht="25" x14ac:dyDescent="0.35">
      <c r="A7" s="12" t="s">
        <v>4073</v>
      </c>
      <c r="B7" s="12" t="s">
        <v>4074</v>
      </c>
      <c r="C7" s="12" t="s">
        <v>4075</v>
      </c>
      <c r="D7" s="12" t="s">
        <v>4076</v>
      </c>
      <c r="E7" s="12" t="s">
        <v>4077</v>
      </c>
      <c r="F7" s="12" t="s">
        <v>4078</v>
      </c>
    </row>
    <row r="8" spans="1:6" ht="25" x14ac:dyDescent="0.35">
      <c r="A8" s="12" t="s">
        <v>4079</v>
      </c>
      <c r="B8" s="12" t="s">
        <v>4080</v>
      </c>
      <c r="C8" s="12" t="s">
        <v>4081</v>
      </c>
      <c r="D8" s="12" t="s">
        <v>4082</v>
      </c>
      <c r="E8" s="12" t="s">
        <v>4083</v>
      </c>
      <c r="F8" s="12" t="s">
        <v>4084</v>
      </c>
    </row>
    <row r="9" spans="1:6" ht="25" x14ac:dyDescent="0.35">
      <c r="A9" s="12" t="s">
        <v>4085</v>
      </c>
      <c r="B9" s="12" t="s">
        <v>4086</v>
      </c>
      <c r="C9" s="12" t="s">
        <v>4087</v>
      </c>
      <c r="D9" s="12" t="s">
        <v>4088</v>
      </c>
      <c r="E9" s="12" t="s">
        <v>4089</v>
      </c>
      <c r="F9" s="12" t="s">
        <v>4090</v>
      </c>
    </row>
    <row r="10" spans="1:6" ht="25" x14ac:dyDescent="0.35">
      <c r="A10" s="12" t="s">
        <v>4091</v>
      </c>
      <c r="B10" s="12" t="s">
        <v>4092</v>
      </c>
      <c r="C10" s="12" t="s">
        <v>4093</v>
      </c>
      <c r="D10" s="12" t="s">
        <v>4094</v>
      </c>
      <c r="E10" s="12" t="s">
        <v>4095</v>
      </c>
      <c r="F10" s="12" t="s">
        <v>4096</v>
      </c>
    </row>
    <row r="11" spans="1:6" ht="25" x14ac:dyDescent="0.35">
      <c r="A11" s="12" t="s">
        <v>4097</v>
      </c>
      <c r="B11" s="12" t="s">
        <v>4098</v>
      </c>
      <c r="C11" s="12" t="s">
        <v>4099</v>
      </c>
      <c r="D11" s="12" t="s">
        <v>4100</v>
      </c>
      <c r="E11" s="12" t="s">
        <v>4101</v>
      </c>
      <c r="F11" s="12" t="s">
        <v>4102</v>
      </c>
    </row>
    <row r="12" spans="1:6" ht="25" x14ac:dyDescent="0.35">
      <c r="A12" s="12" t="s">
        <v>4103</v>
      </c>
      <c r="B12" s="12" t="s">
        <v>4104</v>
      </c>
      <c r="C12" s="12" t="s">
        <v>4105</v>
      </c>
      <c r="D12" s="12" t="s">
        <v>4106</v>
      </c>
      <c r="E12" s="12" t="s">
        <v>388</v>
      </c>
      <c r="F12" s="12" t="s">
        <v>4107</v>
      </c>
    </row>
    <row r="13" spans="1:6" ht="25" x14ac:dyDescent="0.35">
      <c r="A13" s="12" t="s">
        <v>4108</v>
      </c>
      <c r="B13" s="12" t="s">
        <v>4109</v>
      </c>
      <c r="C13" s="12" t="s">
        <v>4110</v>
      </c>
      <c r="D13" s="12" t="s">
        <v>4111</v>
      </c>
      <c r="E13" s="12" t="s">
        <v>4112</v>
      </c>
      <c r="F13" s="12" t="s">
        <v>4113</v>
      </c>
    </row>
    <row r="15" spans="1:6" ht="39" customHeight="1" x14ac:dyDescent="0.35">
      <c r="A15" s="1" t="s">
        <v>4114</v>
      </c>
      <c r="B15" s="1"/>
      <c r="C15" s="1"/>
      <c r="D15" s="1"/>
      <c r="E15" s="1"/>
      <c r="F15" s="1"/>
    </row>
  </sheetData>
  <autoFilter ref="A1:F13" xr:uid="{00000000-0009-0000-0000-00002E000000}"/>
  <mergeCells count="1"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37474F"/>
  </sheetPr>
  <dimension ref="A1:F1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30" customWidth="1"/>
    <col min="2" max="2" width="16" customWidth="1"/>
    <col min="3" max="3" width="44" customWidth="1"/>
    <col min="4" max="4" width="62" customWidth="1"/>
    <col min="5" max="5" width="44" customWidth="1"/>
    <col min="6" max="6" width="14" customWidth="1"/>
  </cols>
  <sheetData>
    <row r="1" spans="1:6" ht="27.75" customHeight="1" x14ac:dyDescent="0.35">
      <c r="A1" s="11" t="s">
        <v>4115</v>
      </c>
      <c r="B1" s="11" t="s">
        <v>4116</v>
      </c>
      <c r="C1" s="11" t="s">
        <v>4117</v>
      </c>
      <c r="D1" s="11" t="s">
        <v>4118</v>
      </c>
      <c r="E1" s="11" t="s">
        <v>4119</v>
      </c>
      <c r="F1" s="11" t="s">
        <v>4120</v>
      </c>
    </row>
    <row r="2" spans="1:6" ht="37.5" x14ac:dyDescent="0.35">
      <c r="A2" s="12" t="s">
        <v>4121</v>
      </c>
      <c r="B2" s="12" t="s">
        <v>4122</v>
      </c>
      <c r="C2" s="12" t="s">
        <v>4123</v>
      </c>
      <c r="D2" s="12" t="s">
        <v>4124</v>
      </c>
      <c r="E2" s="12" t="s">
        <v>4125</v>
      </c>
      <c r="F2" s="12" t="s">
        <v>4126</v>
      </c>
    </row>
    <row r="3" spans="1:6" ht="25" x14ac:dyDescent="0.35">
      <c r="A3" s="12" t="s">
        <v>4127</v>
      </c>
      <c r="B3" s="12" t="s">
        <v>4128</v>
      </c>
      <c r="C3" s="12" t="s">
        <v>4129</v>
      </c>
      <c r="D3" s="12" t="s">
        <v>4130</v>
      </c>
      <c r="E3" s="12" t="s">
        <v>4131</v>
      </c>
      <c r="F3" s="12" t="s">
        <v>4132</v>
      </c>
    </row>
    <row r="4" spans="1:6" ht="25" x14ac:dyDescent="0.35">
      <c r="A4" s="12" t="s">
        <v>4133</v>
      </c>
      <c r="B4" s="12" t="s">
        <v>4134</v>
      </c>
      <c r="C4" s="12" t="s">
        <v>4135</v>
      </c>
      <c r="D4" s="12" t="s">
        <v>4136</v>
      </c>
      <c r="E4" s="12" t="s">
        <v>4137</v>
      </c>
      <c r="F4" s="12" t="s">
        <v>4138</v>
      </c>
    </row>
    <row r="5" spans="1:6" ht="37.5" x14ac:dyDescent="0.35">
      <c r="A5" s="12" t="s">
        <v>4139</v>
      </c>
      <c r="B5" s="12" t="s">
        <v>4140</v>
      </c>
      <c r="C5" s="12" t="s">
        <v>388</v>
      </c>
      <c r="D5" s="12" t="s">
        <v>4141</v>
      </c>
      <c r="E5" s="12" t="s">
        <v>4142</v>
      </c>
      <c r="F5" s="12" t="s">
        <v>4143</v>
      </c>
    </row>
    <row r="6" spans="1:6" ht="25" x14ac:dyDescent="0.35">
      <c r="A6" s="12" t="s">
        <v>4144</v>
      </c>
      <c r="B6" s="12" t="s">
        <v>4145</v>
      </c>
      <c r="C6" s="12" t="s">
        <v>4146</v>
      </c>
      <c r="D6" s="12" t="s">
        <v>4147</v>
      </c>
      <c r="E6" s="12" t="s">
        <v>4148</v>
      </c>
      <c r="F6" s="12" t="s">
        <v>4149</v>
      </c>
    </row>
    <row r="7" spans="1:6" ht="50" x14ac:dyDescent="0.35">
      <c r="A7" s="12" t="s">
        <v>4150</v>
      </c>
      <c r="B7" s="12" t="s">
        <v>4151</v>
      </c>
      <c r="C7" s="12" t="s">
        <v>4152</v>
      </c>
      <c r="D7" s="12" t="s">
        <v>4153</v>
      </c>
      <c r="E7" s="12" t="s">
        <v>4154</v>
      </c>
      <c r="F7" s="12" t="s">
        <v>4155</v>
      </c>
    </row>
    <row r="8" spans="1:6" ht="37.5" x14ac:dyDescent="0.35">
      <c r="A8" s="12" t="s">
        <v>4156</v>
      </c>
      <c r="B8" s="12" t="s">
        <v>4157</v>
      </c>
      <c r="C8" s="12" t="s">
        <v>4158</v>
      </c>
      <c r="D8" s="12" t="s">
        <v>4159</v>
      </c>
      <c r="E8" s="12" t="s">
        <v>4160</v>
      </c>
      <c r="F8" s="12" t="s">
        <v>4161</v>
      </c>
    </row>
    <row r="9" spans="1:6" ht="25" x14ac:dyDescent="0.35">
      <c r="A9" s="12" t="s">
        <v>4162</v>
      </c>
      <c r="B9" s="12" t="s">
        <v>4163</v>
      </c>
      <c r="C9" s="12" t="s">
        <v>388</v>
      </c>
      <c r="D9" s="12" t="s">
        <v>4164</v>
      </c>
      <c r="E9" s="12" t="s">
        <v>4165</v>
      </c>
      <c r="F9" s="12" t="s">
        <v>4166</v>
      </c>
    </row>
    <row r="11" spans="1:6" ht="27.75" customHeight="1" x14ac:dyDescent="0.35">
      <c r="A11" s="1" t="s">
        <v>4167</v>
      </c>
      <c r="B11" s="1"/>
      <c r="C11" s="1"/>
      <c r="D11" s="1"/>
      <c r="E11" s="1"/>
      <c r="F11" s="1"/>
    </row>
  </sheetData>
  <autoFilter ref="A1:F9" xr:uid="{00000000-0009-0000-0000-00002F000000}"/>
  <mergeCells count="1"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E65100"/>
  </sheetPr>
  <dimension ref="A1:F10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6" customWidth="1"/>
    <col min="2" max="2" width="54" customWidth="1"/>
    <col min="3" max="3" width="52" customWidth="1"/>
    <col min="4" max="4" width="26" customWidth="1"/>
    <col min="5" max="5" width="22" customWidth="1"/>
    <col min="6" max="6" width="26" customWidth="1"/>
  </cols>
  <sheetData>
    <row r="1" spans="1:6" ht="27.75" customHeight="1" x14ac:dyDescent="0.35">
      <c r="A1" s="11" t="s">
        <v>4168</v>
      </c>
      <c r="B1" s="11" t="s">
        <v>4169</v>
      </c>
      <c r="C1" s="11" t="s">
        <v>4170</v>
      </c>
      <c r="D1" s="11" t="s">
        <v>4171</v>
      </c>
      <c r="E1" s="11" t="s">
        <v>4172</v>
      </c>
      <c r="F1" s="11" t="s">
        <v>4173</v>
      </c>
    </row>
    <row r="2" spans="1:6" ht="25" x14ac:dyDescent="0.35">
      <c r="A2" s="12" t="s">
        <v>4174</v>
      </c>
      <c r="B2" s="12" t="s">
        <v>4175</v>
      </c>
      <c r="C2" s="12" t="s">
        <v>4176</v>
      </c>
      <c r="D2" s="12" t="s">
        <v>4177</v>
      </c>
      <c r="E2" s="12" t="s">
        <v>2320</v>
      </c>
      <c r="F2" s="12" t="s">
        <v>4178</v>
      </c>
    </row>
    <row r="3" spans="1:6" ht="25" x14ac:dyDescent="0.35">
      <c r="A3" s="12" t="s">
        <v>4179</v>
      </c>
      <c r="B3" s="12" t="s">
        <v>4180</v>
      </c>
      <c r="C3" s="12" t="s">
        <v>4181</v>
      </c>
      <c r="D3" s="12" t="s">
        <v>4182</v>
      </c>
      <c r="E3" s="12" t="s">
        <v>4183</v>
      </c>
      <c r="F3" s="12" t="s">
        <v>4184</v>
      </c>
    </row>
    <row r="4" spans="1:6" ht="25" x14ac:dyDescent="0.35">
      <c r="A4" s="12" t="s">
        <v>4185</v>
      </c>
      <c r="B4" s="12" t="s">
        <v>4186</v>
      </c>
      <c r="C4" s="12" t="s">
        <v>4187</v>
      </c>
      <c r="D4" s="12" t="s">
        <v>4188</v>
      </c>
      <c r="E4" s="12" t="s">
        <v>4189</v>
      </c>
      <c r="F4" s="12" t="s">
        <v>4190</v>
      </c>
    </row>
    <row r="5" spans="1:6" ht="25" x14ac:dyDescent="0.35">
      <c r="A5" s="12" t="s">
        <v>3741</v>
      </c>
      <c r="B5" s="12" t="s">
        <v>4191</v>
      </c>
      <c r="C5" s="12" t="s">
        <v>4192</v>
      </c>
      <c r="D5" s="12" t="s">
        <v>4193</v>
      </c>
      <c r="E5" s="12" t="s">
        <v>4194</v>
      </c>
      <c r="F5" s="12" t="s">
        <v>4195</v>
      </c>
    </row>
    <row r="6" spans="1:6" ht="25" x14ac:dyDescent="0.35">
      <c r="A6" s="12" t="s">
        <v>4196</v>
      </c>
      <c r="B6" s="12" t="s">
        <v>4197</v>
      </c>
      <c r="C6" s="12" t="s">
        <v>4198</v>
      </c>
      <c r="D6" s="12" t="s">
        <v>4199</v>
      </c>
      <c r="E6" s="12" t="s">
        <v>4200</v>
      </c>
      <c r="F6" s="12" t="s">
        <v>4201</v>
      </c>
    </row>
    <row r="7" spans="1:6" ht="25" x14ac:dyDescent="0.35">
      <c r="A7" s="12" t="s">
        <v>4202</v>
      </c>
      <c r="B7" s="12" t="s">
        <v>4203</v>
      </c>
      <c r="C7" s="12" t="s">
        <v>4204</v>
      </c>
      <c r="D7" s="12" t="s">
        <v>4205</v>
      </c>
      <c r="E7" s="12" t="s">
        <v>4206</v>
      </c>
      <c r="F7" s="12" t="s">
        <v>4207</v>
      </c>
    </row>
    <row r="8" spans="1:6" ht="25" x14ac:dyDescent="0.35">
      <c r="A8" s="12" t="s">
        <v>4208</v>
      </c>
      <c r="B8" s="12" t="s">
        <v>4209</v>
      </c>
      <c r="C8" s="12" t="s">
        <v>4210</v>
      </c>
      <c r="D8" s="12" t="s">
        <v>4211</v>
      </c>
      <c r="E8" s="12" t="s">
        <v>1947</v>
      </c>
      <c r="F8" s="12" t="s">
        <v>4212</v>
      </c>
    </row>
    <row r="10" spans="1:6" ht="39" customHeight="1" x14ac:dyDescent="0.35">
      <c r="A10" s="1" t="s">
        <v>4213</v>
      </c>
      <c r="B10" s="1"/>
      <c r="C10" s="1"/>
      <c r="D10" s="1"/>
      <c r="E10" s="1"/>
      <c r="F10" s="1"/>
    </row>
  </sheetData>
  <autoFilter ref="A1:F8" xr:uid="{00000000-0009-0000-0000-000030000000}"/>
  <mergeCells count="1"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E65100"/>
  </sheetPr>
  <dimension ref="A1:G9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14" customWidth="1"/>
    <col min="3" max="3" width="44" customWidth="1"/>
    <col min="4" max="4" width="60" customWidth="1"/>
    <col min="5" max="5" width="52" customWidth="1"/>
    <col min="6" max="6" width="14" customWidth="1"/>
    <col min="7" max="7" width="12" customWidth="1"/>
  </cols>
  <sheetData>
    <row r="1" spans="1:7" ht="27.75" customHeight="1" x14ac:dyDescent="0.35">
      <c r="A1" s="11" t="s">
        <v>512</v>
      </c>
      <c r="B1" s="11" t="s">
        <v>4214</v>
      </c>
      <c r="C1" s="11" t="s">
        <v>4215</v>
      </c>
      <c r="D1" s="11" t="s">
        <v>4216</v>
      </c>
      <c r="E1" s="11" t="s">
        <v>4217</v>
      </c>
      <c r="F1" s="11" t="s">
        <v>3758</v>
      </c>
      <c r="G1" s="11" t="s">
        <v>254</v>
      </c>
    </row>
    <row r="2" spans="1:7" ht="25" x14ac:dyDescent="0.35">
      <c r="A2" s="12" t="s">
        <v>4218</v>
      </c>
      <c r="B2" s="12" t="s">
        <v>4219</v>
      </c>
      <c r="C2" s="12" t="s">
        <v>4220</v>
      </c>
      <c r="D2" s="12" t="s">
        <v>4221</v>
      </c>
      <c r="E2" s="12" t="s">
        <v>4222</v>
      </c>
      <c r="F2" s="12" t="s">
        <v>4223</v>
      </c>
      <c r="G2" s="12" t="s">
        <v>262</v>
      </c>
    </row>
    <row r="3" spans="1:7" x14ac:dyDescent="0.35">
      <c r="A3" s="12" t="s">
        <v>4224</v>
      </c>
      <c r="B3" s="12" t="s">
        <v>4225</v>
      </c>
      <c r="C3" s="12" t="s">
        <v>4226</v>
      </c>
      <c r="D3" s="12" t="s">
        <v>4227</v>
      </c>
      <c r="E3" s="12" t="s">
        <v>4228</v>
      </c>
      <c r="F3" s="12" t="s">
        <v>4229</v>
      </c>
      <c r="G3" s="12" t="s">
        <v>262</v>
      </c>
    </row>
    <row r="4" spans="1:7" x14ac:dyDescent="0.35">
      <c r="A4" s="12" t="s">
        <v>4230</v>
      </c>
      <c r="B4" s="12" t="s">
        <v>4231</v>
      </c>
      <c r="C4" s="12" t="s">
        <v>4232</v>
      </c>
      <c r="D4" s="12" t="s">
        <v>4233</v>
      </c>
      <c r="E4" s="12" t="s">
        <v>4234</v>
      </c>
      <c r="F4" s="12" t="s">
        <v>4235</v>
      </c>
      <c r="G4" s="12" t="s">
        <v>262</v>
      </c>
    </row>
    <row r="5" spans="1:7" x14ac:dyDescent="0.35">
      <c r="A5" s="12" t="s">
        <v>4236</v>
      </c>
      <c r="B5" s="12" t="s">
        <v>4237</v>
      </c>
      <c r="C5" s="12" t="s">
        <v>4238</v>
      </c>
      <c r="D5" s="12" t="s">
        <v>4239</v>
      </c>
      <c r="E5" s="12" t="s">
        <v>4240</v>
      </c>
      <c r="F5" s="12" t="s">
        <v>4241</v>
      </c>
      <c r="G5" s="12" t="s">
        <v>262</v>
      </c>
    </row>
    <row r="6" spans="1:7" ht="25" x14ac:dyDescent="0.35">
      <c r="A6" s="12" t="s">
        <v>518</v>
      </c>
      <c r="B6" s="12" t="s">
        <v>4242</v>
      </c>
      <c r="C6" s="12" t="s">
        <v>4243</v>
      </c>
      <c r="D6" s="12" t="s">
        <v>4244</v>
      </c>
      <c r="E6" s="12" t="s">
        <v>4245</v>
      </c>
      <c r="F6" s="12" t="s">
        <v>4246</v>
      </c>
      <c r="G6" s="12" t="s">
        <v>262</v>
      </c>
    </row>
    <row r="7" spans="1:7" x14ac:dyDescent="0.35">
      <c r="A7" s="12" t="s">
        <v>523</v>
      </c>
      <c r="B7" s="12" t="s">
        <v>4247</v>
      </c>
      <c r="C7" s="12" t="s">
        <v>4248</v>
      </c>
      <c r="D7" s="12" t="s">
        <v>4249</v>
      </c>
      <c r="E7" s="12" t="s">
        <v>4250</v>
      </c>
      <c r="F7" s="12" t="s">
        <v>4251</v>
      </c>
      <c r="G7" s="12" t="s">
        <v>262</v>
      </c>
    </row>
    <row r="8" spans="1:7" ht="25" x14ac:dyDescent="0.35">
      <c r="A8" s="12" t="s">
        <v>529</v>
      </c>
      <c r="B8" s="12" t="s">
        <v>4252</v>
      </c>
      <c r="C8" s="12" t="s">
        <v>4253</v>
      </c>
      <c r="D8" s="12" t="s">
        <v>4254</v>
      </c>
      <c r="E8" s="12" t="s">
        <v>4255</v>
      </c>
      <c r="F8" s="12" t="s">
        <v>4256</v>
      </c>
      <c r="G8" s="12" t="s">
        <v>720</v>
      </c>
    </row>
    <row r="9" spans="1:7" ht="25" x14ac:dyDescent="0.35">
      <c r="A9" s="12" t="s">
        <v>4257</v>
      </c>
      <c r="B9" s="12" t="s">
        <v>4258</v>
      </c>
      <c r="C9" s="12" t="s">
        <v>4259</v>
      </c>
      <c r="D9" s="12" t="s">
        <v>4260</v>
      </c>
      <c r="E9" s="12" t="s">
        <v>4261</v>
      </c>
      <c r="F9" s="12" t="s">
        <v>4262</v>
      </c>
      <c r="G9" s="12" t="s">
        <v>720</v>
      </c>
    </row>
  </sheetData>
  <autoFilter ref="A1:G9" xr:uid="{00000000-0009-0000-0000-000031000000}"/>
  <pageMargins left="0.75" right="0.75" top="1" bottom="1" header="0.511811023622047" footer="0.511811023622047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E65100"/>
  </sheetPr>
  <dimension ref="A1:J4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12" customWidth="1"/>
    <col min="3" max="3" width="18" customWidth="1"/>
    <col min="4" max="4" width="12" customWidth="1"/>
    <col min="5" max="5" width="46" customWidth="1"/>
    <col min="6" max="6" width="56" customWidth="1"/>
    <col min="7" max="8" width="14" customWidth="1"/>
    <col min="9" max="10" width="12" customWidth="1"/>
  </cols>
  <sheetData>
    <row r="1" spans="1:10" ht="27.75" customHeight="1" x14ac:dyDescent="0.35">
      <c r="A1" s="11" t="s">
        <v>4263</v>
      </c>
      <c r="B1" s="11" t="s">
        <v>4264</v>
      </c>
      <c r="C1" s="11" t="s">
        <v>249</v>
      </c>
      <c r="D1" s="11" t="s">
        <v>4265</v>
      </c>
      <c r="E1" s="11" t="s">
        <v>4266</v>
      </c>
      <c r="F1" s="11" t="s">
        <v>4267</v>
      </c>
      <c r="G1" s="11" t="s">
        <v>4268</v>
      </c>
      <c r="H1" s="11" t="s">
        <v>4269</v>
      </c>
      <c r="I1" s="11" t="s">
        <v>254</v>
      </c>
      <c r="J1" s="11" t="s">
        <v>4270</v>
      </c>
    </row>
    <row r="2" spans="1:10" ht="25" x14ac:dyDescent="0.35">
      <c r="A2" s="12" t="s">
        <v>4271</v>
      </c>
      <c r="B2" s="12" t="s">
        <v>4272</v>
      </c>
      <c r="C2" s="12" t="s">
        <v>634</v>
      </c>
      <c r="D2" s="12" t="s">
        <v>4273</v>
      </c>
      <c r="E2" s="12" t="s">
        <v>4274</v>
      </c>
      <c r="F2" s="12" t="s">
        <v>4275</v>
      </c>
      <c r="G2" s="12" t="s">
        <v>625</v>
      </c>
      <c r="H2" s="12" t="s">
        <v>625</v>
      </c>
      <c r="I2" s="12" t="s">
        <v>1867</v>
      </c>
      <c r="J2" s="12" t="s">
        <v>4276</v>
      </c>
    </row>
    <row r="4" spans="1:10" ht="27.75" customHeight="1" x14ac:dyDescent="0.35">
      <c r="A4" s="1" t="s">
        <v>4277</v>
      </c>
      <c r="B4" s="1"/>
      <c r="C4" s="1"/>
      <c r="D4" s="1"/>
      <c r="E4" s="1"/>
      <c r="F4" s="1"/>
      <c r="G4" s="1"/>
      <c r="H4" s="1"/>
      <c r="I4" s="1"/>
      <c r="J4" s="1"/>
    </row>
  </sheetData>
  <autoFilter ref="A1:J2" xr:uid="{00000000-0009-0000-0000-000032000000}"/>
  <mergeCells count="1">
    <mergeCell ref="A4:J4"/>
  </mergeCells>
  <pageMargins left="0.75" right="0.75" top="1" bottom="1" header="0.511811023622047" footer="0.511811023622047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E65100"/>
  </sheetPr>
  <dimension ref="A1:G4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10" customWidth="1"/>
    <col min="3" max="3" width="14" customWidth="1"/>
    <col min="4" max="4" width="20" customWidth="1"/>
    <col min="5" max="5" width="70" customWidth="1"/>
    <col min="6" max="7" width="12" customWidth="1"/>
  </cols>
  <sheetData>
    <row r="1" spans="1:7" ht="27.75" customHeight="1" x14ac:dyDescent="0.35">
      <c r="A1" s="11" t="s">
        <v>1438</v>
      </c>
      <c r="B1" s="11" t="s">
        <v>512</v>
      </c>
      <c r="C1" s="11" t="s">
        <v>248</v>
      </c>
      <c r="D1" s="11" t="s">
        <v>923</v>
      </c>
      <c r="E1" s="11" t="s">
        <v>4278</v>
      </c>
      <c r="F1" s="11" t="s">
        <v>1922</v>
      </c>
      <c r="G1" s="11" t="s">
        <v>4279</v>
      </c>
    </row>
    <row r="2" spans="1:7" ht="25" x14ac:dyDescent="0.35">
      <c r="A2" s="12" t="s">
        <v>4272</v>
      </c>
      <c r="B2" s="12" t="s">
        <v>4280</v>
      </c>
      <c r="C2" s="12" t="s">
        <v>4281</v>
      </c>
      <c r="D2" s="12" t="s">
        <v>4282</v>
      </c>
      <c r="E2" s="12" t="s">
        <v>4283</v>
      </c>
      <c r="F2" s="12" t="s">
        <v>625</v>
      </c>
      <c r="G2" s="12" t="s">
        <v>4284</v>
      </c>
    </row>
    <row r="4" spans="1:7" ht="27.75" customHeight="1" x14ac:dyDescent="0.35">
      <c r="A4" s="1" t="s">
        <v>4285</v>
      </c>
      <c r="B4" s="1"/>
      <c r="C4" s="1"/>
      <c r="D4" s="1"/>
      <c r="E4" s="1"/>
      <c r="F4" s="1"/>
      <c r="G4" s="1"/>
    </row>
  </sheetData>
  <autoFilter ref="A1:G2" xr:uid="{00000000-0009-0000-0000-000033000000}"/>
  <mergeCells count="1">
    <mergeCell ref="A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E65100"/>
  </sheetPr>
  <dimension ref="A1:H13"/>
  <sheetViews>
    <sheetView zoomScaleNormal="100" workbookViewId="0">
      <pane ySplit="1" topLeftCell="A6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22" customWidth="1"/>
    <col min="3" max="3" width="40" customWidth="1"/>
    <col min="4" max="4" width="20" customWidth="1"/>
    <col min="5" max="5" width="28" customWidth="1"/>
    <col min="6" max="6" width="10" customWidth="1"/>
    <col min="7" max="7" width="14" customWidth="1"/>
    <col min="8" max="8" width="40" customWidth="1"/>
  </cols>
  <sheetData>
    <row r="1" spans="1:8" ht="27.75" customHeight="1" x14ac:dyDescent="0.35">
      <c r="A1" s="11" t="s">
        <v>4286</v>
      </c>
      <c r="B1" s="11" t="s">
        <v>248</v>
      </c>
      <c r="C1" s="11" t="s">
        <v>4287</v>
      </c>
      <c r="D1" s="11" t="s">
        <v>4171</v>
      </c>
      <c r="E1" s="11" t="s">
        <v>4288</v>
      </c>
      <c r="F1" s="11" t="s">
        <v>619</v>
      </c>
      <c r="G1" s="11" t="s">
        <v>254</v>
      </c>
      <c r="H1" s="11" t="s">
        <v>3678</v>
      </c>
    </row>
    <row r="2" spans="1:8" x14ac:dyDescent="0.35">
      <c r="A2" s="12" t="s">
        <v>4289</v>
      </c>
      <c r="B2" s="12" t="s">
        <v>4290</v>
      </c>
      <c r="C2" s="12" t="s">
        <v>4291</v>
      </c>
      <c r="D2" s="12" t="s">
        <v>4292</v>
      </c>
      <c r="E2" s="12" t="s">
        <v>4293</v>
      </c>
      <c r="F2" s="12" t="s">
        <v>625</v>
      </c>
      <c r="G2" s="12" t="s">
        <v>262</v>
      </c>
      <c r="H2" s="12" t="s">
        <v>4294</v>
      </c>
    </row>
    <row r="3" spans="1:8" x14ac:dyDescent="0.35">
      <c r="A3" s="12" t="s">
        <v>4295</v>
      </c>
      <c r="B3" s="12" t="s">
        <v>4290</v>
      </c>
      <c r="C3" s="12" t="s">
        <v>4296</v>
      </c>
      <c r="D3" s="12" t="s">
        <v>4292</v>
      </c>
      <c r="E3" s="12" t="s">
        <v>4297</v>
      </c>
      <c r="F3" s="12" t="s">
        <v>625</v>
      </c>
      <c r="G3" s="12" t="s">
        <v>262</v>
      </c>
      <c r="H3" s="12" t="s">
        <v>4298</v>
      </c>
    </row>
    <row r="4" spans="1:8" ht="25" x14ac:dyDescent="0.35">
      <c r="A4" s="12" t="s">
        <v>4299</v>
      </c>
      <c r="B4" s="12" t="s">
        <v>3614</v>
      </c>
      <c r="C4" s="12" t="s">
        <v>4300</v>
      </c>
      <c r="D4" s="12" t="s">
        <v>4301</v>
      </c>
      <c r="E4" s="12" t="s">
        <v>4302</v>
      </c>
      <c r="F4" s="12" t="s">
        <v>625</v>
      </c>
      <c r="G4" s="12" t="s">
        <v>262</v>
      </c>
      <c r="H4" s="12" t="s">
        <v>4303</v>
      </c>
    </row>
    <row r="5" spans="1:8" ht="25" x14ac:dyDescent="0.35">
      <c r="A5" s="12" t="s">
        <v>4304</v>
      </c>
      <c r="B5" s="12" t="s">
        <v>4305</v>
      </c>
      <c r="C5" s="12" t="s">
        <v>4306</v>
      </c>
      <c r="D5" s="12" t="s">
        <v>4292</v>
      </c>
      <c r="E5" s="12" t="s">
        <v>4307</v>
      </c>
      <c r="F5" s="12" t="s">
        <v>625</v>
      </c>
      <c r="G5" s="12" t="s">
        <v>262</v>
      </c>
      <c r="H5" s="12" t="s">
        <v>4308</v>
      </c>
    </row>
    <row r="6" spans="1:8" x14ac:dyDescent="0.35">
      <c r="A6" s="12" t="s">
        <v>4309</v>
      </c>
      <c r="B6" s="12" t="s">
        <v>4305</v>
      </c>
      <c r="C6" s="12" t="s">
        <v>4310</v>
      </c>
      <c r="D6" s="12" t="s">
        <v>4292</v>
      </c>
      <c r="E6" s="12" t="s">
        <v>4311</v>
      </c>
      <c r="F6" s="12" t="s">
        <v>625</v>
      </c>
      <c r="G6" s="12" t="s">
        <v>262</v>
      </c>
      <c r="H6" s="12" t="s">
        <v>4312</v>
      </c>
    </row>
    <row r="7" spans="1:8" ht="25" x14ac:dyDescent="0.35">
      <c r="A7" s="12" t="s">
        <v>4313</v>
      </c>
      <c r="B7" s="12" t="s">
        <v>1184</v>
      </c>
      <c r="C7" s="12" t="s">
        <v>4314</v>
      </c>
      <c r="D7" s="12" t="s">
        <v>4315</v>
      </c>
      <c r="E7" s="12" t="s">
        <v>4316</v>
      </c>
      <c r="F7" s="12" t="s">
        <v>625</v>
      </c>
      <c r="G7" s="12" t="s">
        <v>262</v>
      </c>
      <c r="H7" s="12" t="s">
        <v>4317</v>
      </c>
    </row>
    <row r="8" spans="1:8" x14ac:dyDescent="0.35">
      <c r="A8" s="12" t="s">
        <v>4318</v>
      </c>
      <c r="B8" s="12" t="s">
        <v>1184</v>
      </c>
      <c r="C8" s="12" t="s">
        <v>4319</v>
      </c>
      <c r="D8" s="12" t="s">
        <v>4315</v>
      </c>
      <c r="E8" s="12" t="s">
        <v>4311</v>
      </c>
      <c r="F8" s="12" t="s">
        <v>625</v>
      </c>
      <c r="G8" s="12" t="s">
        <v>262</v>
      </c>
      <c r="H8" s="12" t="s">
        <v>4320</v>
      </c>
    </row>
    <row r="9" spans="1:8" ht="25" x14ac:dyDescent="0.35">
      <c r="A9" s="12" t="s">
        <v>4321</v>
      </c>
      <c r="B9" s="12" t="s">
        <v>301</v>
      </c>
      <c r="C9" s="12" t="s">
        <v>4322</v>
      </c>
      <c r="D9" s="12" t="s">
        <v>4323</v>
      </c>
      <c r="E9" s="12" t="s">
        <v>4324</v>
      </c>
      <c r="F9" s="12" t="s">
        <v>625</v>
      </c>
      <c r="G9" s="12" t="s">
        <v>262</v>
      </c>
      <c r="H9" s="12" t="s">
        <v>4325</v>
      </c>
    </row>
    <row r="10" spans="1:8" ht="25" x14ac:dyDescent="0.35">
      <c r="A10" s="12" t="s">
        <v>4326</v>
      </c>
      <c r="B10" s="12" t="s">
        <v>4327</v>
      </c>
      <c r="C10" s="12" t="s">
        <v>4328</v>
      </c>
      <c r="D10" s="12" t="s">
        <v>4329</v>
      </c>
      <c r="E10" s="12" t="s">
        <v>4330</v>
      </c>
      <c r="F10" s="12" t="s">
        <v>625</v>
      </c>
      <c r="G10" s="12" t="s">
        <v>262</v>
      </c>
      <c r="H10" s="12" t="s">
        <v>4331</v>
      </c>
    </row>
    <row r="11" spans="1:8" ht="25" x14ac:dyDescent="0.35">
      <c r="A11" s="12" t="s">
        <v>4332</v>
      </c>
      <c r="B11" s="12" t="s">
        <v>4327</v>
      </c>
      <c r="C11" s="12" t="s">
        <v>4333</v>
      </c>
      <c r="D11" s="12" t="s">
        <v>4329</v>
      </c>
      <c r="E11" s="12" t="s">
        <v>4334</v>
      </c>
      <c r="F11" s="12" t="s">
        <v>625</v>
      </c>
      <c r="G11" s="12" t="s">
        <v>262</v>
      </c>
      <c r="H11" s="12" t="s">
        <v>4335</v>
      </c>
    </row>
    <row r="12" spans="1:8" x14ac:dyDescent="0.35">
      <c r="A12" s="12" t="s">
        <v>4336</v>
      </c>
      <c r="B12" s="12" t="s">
        <v>4337</v>
      </c>
      <c r="C12" s="12" t="s">
        <v>4338</v>
      </c>
      <c r="D12" s="12" t="s">
        <v>4292</v>
      </c>
      <c r="E12" s="12" t="s">
        <v>4311</v>
      </c>
      <c r="F12" s="12" t="s">
        <v>625</v>
      </c>
      <c r="G12" s="12" t="s">
        <v>262</v>
      </c>
      <c r="H12" s="12" t="s">
        <v>4339</v>
      </c>
    </row>
    <row r="13" spans="1:8" ht="25" x14ac:dyDescent="0.35">
      <c r="A13" s="12" t="s">
        <v>4340</v>
      </c>
      <c r="B13" s="12" t="s">
        <v>3300</v>
      </c>
      <c r="C13" s="12" t="s">
        <v>4341</v>
      </c>
      <c r="D13" s="12" t="s">
        <v>3997</v>
      </c>
      <c r="E13" s="12" t="s">
        <v>4342</v>
      </c>
      <c r="F13" s="12" t="s">
        <v>625</v>
      </c>
      <c r="G13" s="12" t="s">
        <v>262</v>
      </c>
      <c r="H13" s="12" t="s">
        <v>4343</v>
      </c>
    </row>
  </sheetData>
  <autoFilter ref="A1:H13" xr:uid="{00000000-0009-0000-0000-000034000000}"/>
  <pageMargins left="0.75" right="0.75" top="1" bottom="1" header="0.511811023622047" footer="0.511811023622047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E65100"/>
  </sheetPr>
  <dimension ref="A1:G1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8" customWidth="1"/>
    <col min="2" max="2" width="22" customWidth="1"/>
    <col min="3" max="3" width="42" customWidth="1"/>
    <col min="4" max="4" width="56" customWidth="1"/>
    <col min="5" max="6" width="14" customWidth="1"/>
    <col min="7" max="7" width="44" customWidth="1"/>
  </cols>
  <sheetData>
    <row r="1" spans="1:7" ht="27.75" customHeight="1" x14ac:dyDescent="0.35">
      <c r="A1" s="11" t="s">
        <v>2745</v>
      </c>
      <c r="B1" s="11" t="s">
        <v>138</v>
      </c>
      <c r="C1" s="11" t="s">
        <v>4344</v>
      </c>
      <c r="D1" s="11" t="s">
        <v>223</v>
      </c>
      <c r="E1" s="11" t="s">
        <v>4345</v>
      </c>
      <c r="F1" s="11" t="s">
        <v>4346</v>
      </c>
      <c r="G1" s="11" t="s">
        <v>620</v>
      </c>
    </row>
    <row r="2" spans="1:7" x14ac:dyDescent="0.35">
      <c r="A2" s="12" t="s">
        <v>4347</v>
      </c>
      <c r="B2" s="12" t="s">
        <v>194</v>
      </c>
      <c r="C2" s="12" t="s">
        <v>4348</v>
      </c>
      <c r="D2" s="12" t="s">
        <v>4349</v>
      </c>
      <c r="E2" s="12" t="s">
        <v>4350</v>
      </c>
      <c r="F2" s="12" t="s">
        <v>529</v>
      </c>
      <c r="G2" s="12" t="s">
        <v>4351</v>
      </c>
    </row>
    <row r="3" spans="1:7" ht="25" x14ac:dyDescent="0.35">
      <c r="A3" s="12" t="s">
        <v>4352</v>
      </c>
      <c r="B3" s="12" t="s">
        <v>194</v>
      </c>
      <c r="C3" s="12" t="s">
        <v>4353</v>
      </c>
      <c r="D3" s="12" t="s">
        <v>4354</v>
      </c>
      <c r="E3" s="12" t="s">
        <v>4350</v>
      </c>
      <c r="F3" s="12" t="s">
        <v>529</v>
      </c>
      <c r="G3" s="12" t="s">
        <v>4355</v>
      </c>
    </row>
    <row r="4" spans="1:7" x14ac:dyDescent="0.35">
      <c r="A4" s="12" t="s">
        <v>4356</v>
      </c>
      <c r="B4" s="12" t="s">
        <v>918</v>
      </c>
      <c r="C4" s="12" t="s">
        <v>4357</v>
      </c>
      <c r="D4" s="12" t="s">
        <v>4358</v>
      </c>
      <c r="E4" s="12" t="s">
        <v>4350</v>
      </c>
      <c r="F4" s="12" t="s">
        <v>529</v>
      </c>
      <c r="G4" s="12" t="s">
        <v>4359</v>
      </c>
    </row>
    <row r="5" spans="1:7" ht="25" x14ac:dyDescent="0.35">
      <c r="A5" s="12" t="s">
        <v>4360</v>
      </c>
      <c r="B5" s="12" t="s">
        <v>1029</v>
      </c>
      <c r="C5" s="12" t="s">
        <v>4361</v>
      </c>
      <c r="D5" s="12" t="s">
        <v>4362</v>
      </c>
      <c r="E5" s="12" t="s">
        <v>4363</v>
      </c>
      <c r="F5" s="12" t="s">
        <v>535</v>
      </c>
      <c r="G5" s="12" t="s">
        <v>4364</v>
      </c>
    </row>
    <row r="6" spans="1:7" x14ac:dyDescent="0.35">
      <c r="A6" s="12" t="s">
        <v>4365</v>
      </c>
      <c r="B6" s="12" t="s">
        <v>1029</v>
      </c>
      <c r="C6" s="12" t="s">
        <v>4366</v>
      </c>
      <c r="D6" s="12" t="s">
        <v>4367</v>
      </c>
      <c r="E6" s="12" t="s">
        <v>4363</v>
      </c>
      <c r="F6" s="12" t="s">
        <v>535</v>
      </c>
      <c r="G6" s="12" t="s">
        <v>4368</v>
      </c>
    </row>
    <row r="7" spans="1:7" ht="25" x14ac:dyDescent="0.35">
      <c r="A7" s="12" t="s">
        <v>4369</v>
      </c>
      <c r="B7" s="12" t="s">
        <v>4370</v>
      </c>
      <c r="C7" s="12" t="s">
        <v>4371</v>
      </c>
      <c r="D7" s="12" t="s">
        <v>4372</v>
      </c>
      <c r="E7" s="12" t="s">
        <v>4350</v>
      </c>
      <c r="F7" s="12" t="s">
        <v>535</v>
      </c>
      <c r="G7" s="12" t="s">
        <v>4373</v>
      </c>
    </row>
    <row r="8" spans="1:7" x14ac:dyDescent="0.35">
      <c r="A8" s="12" t="s">
        <v>4374</v>
      </c>
      <c r="B8" s="12" t="s">
        <v>4370</v>
      </c>
      <c r="C8" s="12" t="s">
        <v>4375</v>
      </c>
      <c r="D8" s="12" t="s">
        <v>4376</v>
      </c>
      <c r="E8" s="12" t="s">
        <v>4363</v>
      </c>
      <c r="F8" s="12" t="s">
        <v>535</v>
      </c>
      <c r="G8" s="12" t="s">
        <v>4377</v>
      </c>
    </row>
    <row r="9" spans="1:7" ht="25" x14ac:dyDescent="0.35">
      <c r="A9" s="12" t="s">
        <v>4378</v>
      </c>
      <c r="B9" s="12" t="s">
        <v>1660</v>
      </c>
      <c r="C9" s="12" t="s">
        <v>4379</v>
      </c>
      <c r="D9" s="12" t="s">
        <v>4380</v>
      </c>
      <c r="E9" s="12" t="s">
        <v>4363</v>
      </c>
      <c r="F9" s="12" t="s">
        <v>529</v>
      </c>
      <c r="G9" s="12" t="s">
        <v>4381</v>
      </c>
    </row>
    <row r="10" spans="1:7" x14ac:dyDescent="0.35">
      <c r="A10" s="12" t="s">
        <v>4382</v>
      </c>
      <c r="B10" s="12" t="s">
        <v>294</v>
      </c>
      <c r="C10" s="12" t="s">
        <v>4383</v>
      </c>
      <c r="D10" s="12" t="s">
        <v>4384</v>
      </c>
      <c r="E10" s="12" t="s">
        <v>4363</v>
      </c>
      <c r="F10" s="12" t="s">
        <v>535</v>
      </c>
      <c r="G10" s="12" t="s">
        <v>4385</v>
      </c>
    </row>
    <row r="11" spans="1:7" ht="25" x14ac:dyDescent="0.35">
      <c r="A11" s="12" t="s">
        <v>4386</v>
      </c>
      <c r="B11" s="12" t="s">
        <v>4387</v>
      </c>
      <c r="C11" s="12" t="s">
        <v>4388</v>
      </c>
      <c r="D11" s="12" t="s">
        <v>4389</v>
      </c>
      <c r="E11" s="12" t="s">
        <v>4350</v>
      </c>
      <c r="F11" s="12" t="s">
        <v>529</v>
      </c>
      <c r="G11" s="12" t="s">
        <v>4390</v>
      </c>
    </row>
    <row r="12" spans="1:7" ht="25" x14ac:dyDescent="0.35">
      <c r="A12" s="12" t="s">
        <v>4391</v>
      </c>
      <c r="B12" s="12" t="s">
        <v>4392</v>
      </c>
      <c r="C12" s="12" t="s">
        <v>4393</v>
      </c>
      <c r="D12" s="12" t="s">
        <v>4394</v>
      </c>
      <c r="E12" s="12" t="s">
        <v>4363</v>
      </c>
      <c r="F12" s="12" t="s">
        <v>535</v>
      </c>
      <c r="G12" s="12" t="s">
        <v>4395</v>
      </c>
    </row>
    <row r="13" spans="1:7" x14ac:dyDescent="0.35">
      <c r="A13" s="12" t="s">
        <v>4396</v>
      </c>
      <c r="B13" s="12" t="s">
        <v>4337</v>
      </c>
      <c r="C13" s="12" t="s">
        <v>4397</v>
      </c>
      <c r="D13" s="12" t="s">
        <v>4398</v>
      </c>
      <c r="E13" s="12" t="s">
        <v>4363</v>
      </c>
      <c r="F13" s="12" t="s">
        <v>535</v>
      </c>
      <c r="G13" s="12" t="s">
        <v>4399</v>
      </c>
    </row>
  </sheetData>
  <autoFilter ref="A1:G13" xr:uid="{00000000-0009-0000-0000-000035000000}"/>
  <pageMargins left="0.75" right="0.75" top="1" bottom="1" header="0.511811023622047" footer="0.511811023622047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8E48D-51C5-40FD-B633-5281F3B36DEE}">
  <dimension ref="A1:I103"/>
  <sheetViews>
    <sheetView topLeftCell="A18" workbookViewId="0">
      <selection activeCell="A24" sqref="A24:A35"/>
    </sheetView>
  </sheetViews>
  <sheetFormatPr defaultRowHeight="14.5" x14ac:dyDescent="0.35"/>
  <cols>
    <col min="1" max="1" width="30.7265625" bestFit="1" customWidth="1"/>
    <col min="4" max="4" width="36" bestFit="1" customWidth="1"/>
    <col min="7" max="7" width="34.54296875" bestFit="1" customWidth="1"/>
    <col min="8" max="8" width="37.90625" bestFit="1" customWidth="1"/>
  </cols>
  <sheetData>
    <row r="1" spans="1:9" x14ac:dyDescent="0.35">
      <c r="A1" s="15" t="s">
        <v>4400</v>
      </c>
      <c r="D1" t="s">
        <v>4421</v>
      </c>
      <c r="G1" t="s">
        <v>4508</v>
      </c>
    </row>
    <row r="2" spans="1:9" x14ac:dyDescent="0.35">
      <c r="A2" t="s">
        <v>4401</v>
      </c>
      <c r="D2" t="s">
        <v>4422</v>
      </c>
      <c r="G2" s="16" t="s">
        <v>835</v>
      </c>
      <c r="H2" s="16" t="s">
        <v>924</v>
      </c>
      <c r="I2" s="16" t="s">
        <v>254</v>
      </c>
    </row>
    <row r="3" spans="1:9" x14ac:dyDescent="0.35">
      <c r="A3" t="s">
        <v>4402</v>
      </c>
      <c r="D3" t="s">
        <v>4423</v>
      </c>
      <c r="G3" s="17" t="s">
        <v>4509</v>
      </c>
      <c r="H3" s="17" t="s">
        <v>4510</v>
      </c>
      <c r="I3" s="17" t="s">
        <v>4511</v>
      </c>
    </row>
    <row r="4" spans="1:9" x14ac:dyDescent="0.35">
      <c r="A4" t="s">
        <v>4403</v>
      </c>
      <c r="D4" t="s">
        <v>4424</v>
      </c>
      <c r="G4" s="17" t="s">
        <v>4512</v>
      </c>
      <c r="H4" s="17" t="s">
        <v>4513</v>
      </c>
      <c r="I4" s="17" t="s">
        <v>4511</v>
      </c>
    </row>
    <row r="5" spans="1:9" x14ac:dyDescent="0.35">
      <c r="A5" t="s">
        <v>4404</v>
      </c>
      <c r="D5" t="s">
        <v>4425</v>
      </c>
      <c r="G5" s="17" t="s">
        <v>4514</v>
      </c>
      <c r="H5" s="17" t="s">
        <v>935</v>
      </c>
      <c r="I5" s="17" t="s">
        <v>4511</v>
      </c>
    </row>
    <row r="6" spans="1:9" x14ac:dyDescent="0.35">
      <c r="A6" t="s">
        <v>4405</v>
      </c>
      <c r="D6" t="s">
        <v>4426</v>
      </c>
      <c r="G6" s="17" t="s">
        <v>4290</v>
      </c>
      <c r="H6" s="17" t="s">
        <v>4515</v>
      </c>
      <c r="I6" s="17" t="s">
        <v>4511</v>
      </c>
    </row>
    <row r="7" spans="1:9" x14ac:dyDescent="0.35">
      <c r="A7" t="s">
        <v>4406</v>
      </c>
      <c r="D7" t="s">
        <v>4427</v>
      </c>
      <c r="G7" s="17" t="s">
        <v>4516</v>
      </c>
      <c r="H7" s="17" t="s">
        <v>4517</v>
      </c>
      <c r="I7" s="17" t="s">
        <v>4511</v>
      </c>
    </row>
    <row r="8" spans="1:9" x14ac:dyDescent="0.35">
      <c r="A8" t="s">
        <v>4407</v>
      </c>
      <c r="D8" t="s">
        <v>4428</v>
      </c>
      <c r="G8" s="17" t="s">
        <v>4518</v>
      </c>
      <c r="H8" s="17" t="s">
        <v>4519</v>
      </c>
      <c r="I8" s="17" t="s">
        <v>4511</v>
      </c>
    </row>
    <row r="9" spans="1:9" x14ac:dyDescent="0.35">
      <c r="A9" t="s">
        <v>4408</v>
      </c>
      <c r="D9" t="s">
        <v>4429</v>
      </c>
      <c r="G9" s="17" t="s">
        <v>4520</v>
      </c>
      <c r="H9" s="17" t="s">
        <v>4521</v>
      </c>
      <c r="I9" s="17" t="s">
        <v>4511</v>
      </c>
    </row>
    <row r="10" spans="1:9" x14ac:dyDescent="0.35">
      <c r="A10" t="s">
        <v>4409</v>
      </c>
      <c r="D10" t="s">
        <v>4430</v>
      </c>
      <c r="G10" s="17" t="s">
        <v>4522</v>
      </c>
      <c r="H10" s="17" t="s">
        <v>4523</v>
      </c>
      <c r="I10" s="17" t="s">
        <v>4511</v>
      </c>
    </row>
    <row r="11" spans="1:9" x14ac:dyDescent="0.35">
      <c r="A11" t="s">
        <v>4410</v>
      </c>
      <c r="D11" t="s">
        <v>4431</v>
      </c>
      <c r="G11" s="17" t="s">
        <v>3956</v>
      </c>
      <c r="H11" s="17" t="s">
        <v>4524</v>
      </c>
      <c r="I11" s="17" t="s">
        <v>4511</v>
      </c>
    </row>
    <row r="12" spans="1:9" x14ac:dyDescent="0.35">
      <c r="A12" t="s">
        <v>4411</v>
      </c>
      <c r="D12" t="s">
        <v>4432</v>
      </c>
      <c r="G12" s="17" t="s">
        <v>1068</v>
      </c>
      <c r="H12" s="17" t="s">
        <v>4525</v>
      </c>
      <c r="I12" s="17" t="s">
        <v>4511</v>
      </c>
    </row>
    <row r="13" spans="1:9" x14ac:dyDescent="0.35">
      <c r="A13" t="s">
        <v>4412</v>
      </c>
      <c r="D13" t="s">
        <v>4433</v>
      </c>
      <c r="G13" s="17" t="s">
        <v>3554</v>
      </c>
      <c r="H13" s="17" t="s">
        <v>4526</v>
      </c>
      <c r="I13" s="17" t="s">
        <v>4511</v>
      </c>
    </row>
    <row r="14" spans="1:9" x14ac:dyDescent="0.35">
      <c r="A14" t="s">
        <v>4413</v>
      </c>
      <c r="D14" t="s">
        <v>4434</v>
      </c>
      <c r="G14" s="17" t="s">
        <v>4527</v>
      </c>
      <c r="H14" s="17" t="s">
        <v>4528</v>
      </c>
      <c r="I14" s="17" t="s">
        <v>4511</v>
      </c>
    </row>
    <row r="15" spans="1:9" x14ac:dyDescent="0.35">
      <c r="A15" t="s">
        <v>4414</v>
      </c>
      <c r="D15" t="s">
        <v>4435</v>
      </c>
      <c r="G15" s="17" t="s">
        <v>3952</v>
      </c>
      <c r="H15" s="17" t="s">
        <v>4529</v>
      </c>
      <c r="I15" s="17" t="s">
        <v>4511</v>
      </c>
    </row>
    <row r="16" spans="1:9" x14ac:dyDescent="0.35">
      <c r="A16" t="s">
        <v>4415</v>
      </c>
      <c r="D16" t="s">
        <v>4436</v>
      </c>
      <c r="G16" s="17" t="s">
        <v>3941</v>
      </c>
      <c r="H16" s="17" t="s">
        <v>4530</v>
      </c>
      <c r="I16" s="17" t="s">
        <v>4511</v>
      </c>
    </row>
    <row r="17" spans="1:4" x14ac:dyDescent="0.35">
      <c r="A17" t="s">
        <v>4416</v>
      </c>
      <c r="D17" t="s">
        <v>4437</v>
      </c>
    </row>
    <row r="18" spans="1:4" x14ac:dyDescent="0.35">
      <c r="A18" t="s">
        <v>4417</v>
      </c>
      <c r="D18" t="s">
        <v>4438</v>
      </c>
    </row>
    <row r="19" spans="1:4" x14ac:dyDescent="0.35">
      <c r="A19" t="s">
        <v>4418</v>
      </c>
      <c r="D19" t="s">
        <v>4439</v>
      </c>
    </row>
    <row r="20" spans="1:4" x14ac:dyDescent="0.35">
      <c r="A20" t="s">
        <v>4419</v>
      </c>
      <c r="D20" t="s">
        <v>4440</v>
      </c>
    </row>
    <row r="21" spans="1:4" x14ac:dyDescent="0.35">
      <c r="A21" t="s">
        <v>4420</v>
      </c>
      <c r="D21" t="s">
        <v>4441</v>
      </c>
    </row>
    <row r="22" spans="1:4" x14ac:dyDescent="0.35">
      <c r="D22" t="s">
        <v>4423</v>
      </c>
    </row>
    <row r="23" spans="1:4" x14ac:dyDescent="0.35">
      <c r="A23" t="s">
        <v>4531</v>
      </c>
      <c r="D23" t="s">
        <v>4442</v>
      </c>
    </row>
    <row r="24" spans="1:4" x14ac:dyDescent="0.35">
      <c r="A24" t="s">
        <v>4532</v>
      </c>
      <c r="D24" t="s">
        <v>4443</v>
      </c>
    </row>
    <row r="25" spans="1:4" x14ac:dyDescent="0.35">
      <c r="A25" t="s">
        <v>4533</v>
      </c>
      <c r="D25" t="s">
        <v>4444</v>
      </c>
    </row>
    <row r="26" spans="1:4" x14ac:dyDescent="0.35">
      <c r="A26" t="s">
        <v>4534</v>
      </c>
      <c r="D26" t="s">
        <v>4445</v>
      </c>
    </row>
    <row r="27" spans="1:4" x14ac:dyDescent="0.35">
      <c r="A27" t="s">
        <v>4535</v>
      </c>
      <c r="D27" t="s">
        <v>4446</v>
      </c>
    </row>
    <row r="28" spans="1:4" x14ac:dyDescent="0.35">
      <c r="A28" t="s">
        <v>4536</v>
      </c>
      <c r="D28" t="s">
        <v>4447</v>
      </c>
    </row>
    <row r="29" spans="1:4" x14ac:dyDescent="0.35">
      <c r="A29" t="s">
        <v>4537</v>
      </c>
      <c r="D29" t="s">
        <v>4423</v>
      </c>
    </row>
    <row r="30" spans="1:4" x14ac:dyDescent="0.35">
      <c r="A30" t="s">
        <v>948</v>
      </c>
      <c r="D30" t="s">
        <v>4448</v>
      </c>
    </row>
    <row r="31" spans="1:4" x14ac:dyDescent="0.35">
      <c r="A31" t="s">
        <v>4538</v>
      </c>
      <c r="D31" t="s">
        <v>4449</v>
      </c>
    </row>
    <row r="32" spans="1:4" x14ac:dyDescent="0.35">
      <c r="A32" t="s">
        <v>4539</v>
      </c>
      <c r="D32" t="s">
        <v>4450</v>
      </c>
    </row>
    <row r="33" spans="1:4" x14ac:dyDescent="0.35">
      <c r="A33" t="s">
        <v>4540</v>
      </c>
      <c r="D33" t="s">
        <v>4451</v>
      </c>
    </row>
    <row r="34" spans="1:4" x14ac:dyDescent="0.35">
      <c r="A34" t="s">
        <v>4541</v>
      </c>
      <c r="D34" t="s">
        <v>4452</v>
      </c>
    </row>
    <row r="35" spans="1:4" x14ac:dyDescent="0.35">
      <c r="A35" t="s">
        <v>4542</v>
      </c>
      <c r="D35" t="s">
        <v>4453</v>
      </c>
    </row>
    <row r="36" spans="1:4" x14ac:dyDescent="0.35">
      <c r="D36" t="s">
        <v>4454</v>
      </c>
    </row>
    <row r="37" spans="1:4" x14ac:dyDescent="0.35">
      <c r="D37" t="s">
        <v>4455</v>
      </c>
    </row>
    <row r="38" spans="1:4" x14ac:dyDescent="0.35">
      <c r="D38" t="s">
        <v>4456</v>
      </c>
    </row>
    <row r="39" spans="1:4" x14ac:dyDescent="0.35">
      <c r="D39" t="s">
        <v>4457</v>
      </c>
    </row>
    <row r="40" spans="1:4" x14ac:dyDescent="0.35">
      <c r="D40" t="s">
        <v>4458</v>
      </c>
    </row>
    <row r="41" spans="1:4" x14ac:dyDescent="0.35">
      <c r="D41" t="s">
        <v>4459</v>
      </c>
    </row>
    <row r="42" spans="1:4" x14ac:dyDescent="0.35">
      <c r="D42" t="s">
        <v>4460</v>
      </c>
    </row>
    <row r="43" spans="1:4" x14ac:dyDescent="0.35">
      <c r="D43" t="s">
        <v>4461</v>
      </c>
    </row>
    <row r="44" spans="1:4" x14ac:dyDescent="0.35">
      <c r="D44" t="s">
        <v>4462</v>
      </c>
    </row>
    <row r="45" spans="1:4" x14ac:dyDescent="0.35">
      <c r="D45" t="s">
        <v>4463</v>
      </c>
    </row>
    <row r="46" spans="1:4" x14ac:dyDescent="0.35">
      <c r="D46" t="s">
        <v>4464</v>
      </c>
    </row>
    <row r="47" spans="1:4" x14ac:dyDescent="0.35">
      <c r="D47" t="s">
        <v>4465</v>
      </c>
    </row>
    <row r="48" spans="1:4" x14ac:dyDescent="0.35">
      <c r="D48" t="s">
        <v>4466</v>
      </c>
    </row>
    <row r="49" spans="4:4" x14ac:dyDescent="0.35">
      <c r="D49" t="s">
        <v>4467</v>
      </c>
    </row>
    <row r="50" spans="4:4" x14ac:dyDescent="0.35">
      <c r="D50" t="s">
        <v>4468</v>
      </c>
    </row>
    <row r="51" spans="4:4" x14ac:dyDescent="0.35">
      <c r="D51" t="s">
        <v>4469</v>
      </c>
    </row>
    <row r="52" spans="4:4" x14ac:dyDescent="0.35">
      <c r="D52" t="s">
        <v>4470</v>
      </c>
    </row>
    <row r="53" spans="4:4" x14ac:dyDescent="0.35">
      <c r="D53" t="s">
        <v>4423</v>
      </c>
    </row>
    <row r="54" spans="4:4" x14ac:dyDescent="0.35">
      <c r="D54" t="s">
        <v>4471</v>
      </c>
    </row>
    <row r="55" spans="4:4" x14ac:dyDescent="0.35">
      <c r="D55" t="s">
        <v>4472</v>
      </c>
    </row>
    <row r="56" spans="4:4" x14ac:dyDescent="0.35">
      <c r="D56" t="s">
        <v>4473</v>
      </c>
    </row>
    <row r="57" spans="4:4" x14ac:dyDescent="0.35">
      <c r="D57" t="s">
        <v>4474</v>
      </c>
    </row>
    <row r="58" spans="4:4" x14ac:dyDescent="0.35">
      <c r="D58" t="s">
        <v>4475</v>
      </c>
    </row>
    <row r="59" spans="4:4" x14ac:dyDescent="0.35">
      <c r="D59" t="s">
        <v>4476</v>
      </c>
    </row>
    <row r="60" spans="4:4" x14ac:dyDescent="0.35">
      <c r="D60" t="s">
        <v>4477</v>
      </c>
    </row>
    <row r="61" spans="4:4" x14ac:dyDescent="0.35">
      <c r="D61" t="s">
        <v>4478</v>
      </c>
    </row>
    <row r="62" spans="4:4" x14ac:dyDescent="0.35">
      <c r="D62" t="s">
        <v>4479</v>
      </c>
    </row>
    <row r="63" spans="4:4" x14ac:dyDescent="0.35">
      <c r="D63" t="s">
        <v>4480</v>
      </c>
    </row>
    <row r="64" spans="4:4" x14ac:dyDescent="0.35">
      <c r="D64" t="s">
        <v>4481</v>
      </c>
    </row>
    <row r="65" spans="4:4" x14ac:dyDescent="0.35">
      <c r="D65" t="s">
        <v>4482</v>
      </c>
    </row>
    <row r="66" spans="4:4" x14ac:dyDescent="0.35">
      <c r="D66" t="s">
        <v>4423</v>
      </c>
    </row>
    <row r="67" spans="4:4" x14ac:dyDescent="0.35">
      <c r="D67" t="s">
        <v>4483</v>
      </c>
    </row>
    <row r="68" spans="4:4" x14ac:dyDescent="0.35">
      <c r="D68" t="s">
        <v>4484</v>
      </c>
    </row>
    <row r="69" spans="4:4" x14ac:dyDescent="0.35">
      <c r="D69" t="s">
        <v>4485</v>
      </c>
    </row>
    <row r="70" spans="4:4" x14ac:dyDescent="0.35">
      <c r="D70" t="s">
        <v>4486</v>
      </c>
    </row>
    <row r="71" spans="4:4" x14ac:dyDescent="0.35">
      <c r="D71" t="s">
        <v>4487</v>
      </c>
    </row>
    <row r="72" spans="4:4" x14ac:dyDescent="0.35">
      <c r="D72" t="s">
        <v>4488</v>
      </c>
    </row>
    <row r="73" spans="4:4" x14ac:dyDescent="0.35">
      <c r="D73" t="s">
        <v>4423</v>
      </c>
    </row>
    <row r="74" spans="4:4" x14ac:dyDescent="0.35">
      <c r="D74" t="s">
        <v>4489</v>
      </c>
    </row>
    <row r="75" spans="4:4" x14ac:dyDescent="0.35">
      <c r="D75" t="s">
        <v>4490</v>
      </c>
    </row>
    <row r="76" spans="4:4" x14ac:dyDescent="0.35">
      <c r="D76" t="s">
        <v>4491</v>
      </c>
    </row>
    <row r="77" spans="4:4" x14ac:dyDescent="0.35">
      <c r="D77" t="s">
        <v>4460</v>
      </c>
    </row>
    <row r="78" spans="4:4" x14ac:dyDescent="0.35">
      <c r="D78" t="s">
        <v>4462</v>
      </c>
    </row>
    <row r="79" spans="4:4" x14ac:dyDescent="0.35">
      <c r="D79" t="s">
        <v>4492</v>
      </c>
    </row>
    <row r="80" spans="4:4" x14ac:dyDescent="0.35">
      <c r="D80" t="s">
        <v>4493</v>
      </c>
    </row>
    <row r="81" spans="4:4" x14ac:dyDescent="0.35">
      <c r="D81" t="s">
        <v>4423</v>
      </c>
    </row>
    <row r="82" spans="4:4" x14ac:dyDescent="0.35">
      <c r="D82" t="s">
        <v>4494</v>
      </c>
    </row>
    <row r="83" spans="4:4" x14ac:dyDescent="0.35">
      <c r="D83" t="s">
        <v>4423</v>
      </c>
    </row>
    <row r="84" spans="4:4" x14ac:dyDescent="0.35">
      <c r="D84" t="s">
        <v>4495</v>
      </c>
    </row>
    <row r="85" spans="4:4" x14ac:dyDescent="0.35">
      <c r="D85" t="s">
        <v>4423</v>
      </c>
    </row>
    <row r="86" spans="4:4" x14ac:dyDescent="0.35">
      <c r="D86" t="s">
        <v>4496</v>
      </c>
    </row>
    <row r="87" spans="4:4" x14ac:dyDescent="0.35">
      <c r="D87" t="s">
        <v>4423</v>
      </c>
    </row>
    <row r="88" spans="4:4" x14ac:dyDescent="0.35">
      <c r="D88" t="s">
        <v>4497</v>
      </c>
    </row>
    <row r="89" spans="4:4" x14ac:dyDescent="0.35">
      <c r="D89" t="s">
        <v>4423</v>
      </c>
    </row>
    <row r="90" spans="4:4" x14ac:dyDescent="0.35">
      <c r="D90" t="s">
        <v>4498</v>
      </c>
    </row>
    <row r="91" spans="4:4" x14ac:dyDescent="0.35">
      <c r="D91" t="s">
        <v>4423</v>
      </c>
    </row>
    <row r="92" spans="4:4" x14ac:dyDescent="0.35">
      <c r="D92" t="s">
        <v>4499</v>
      </c>
    </row>
    <row r="93" spans="4:4" x14ac:dyDescent="0.35">
      <c r="D93" t="s">
        <v>4423</v>
      </c>
    </row>
    <row r="94" spans="4:4" x14ac:dyDescent="0.35">
      <c r="D94" t="s">
        <v>4500</v>
      </c>
    </row>
    <row r="95" spans="4:4" x14ac:dyDescent="0.35">
      <c r="D95" t="s">
        <v>4423</v>
      </c>
    </row>
    <row r="96" spans="4:4" x14ac:dyDescent="0.35">
      <c r="D96" t="s">
        <v>4501</v>
      </c>
    </row>
    <row r="97" spans="4:4" x14ac:dyDescent="0.35">
      <c r="D97" t="s">
        <v>4423</v>
      </c>
    </row>
    <row r="98" spans="4:4" x14ac:dyDescent="0.35">
      <c r="D98" t="s">
        <v>4502</v>
      </c>
    </row>
    <row r="99" spans="4:4" x14ac:dyDescent="0.35">
      <c r="D99" t="s">
        <v>4503</v>
      </c>
    </row>
    <row r="100" spans="4:4" x14ac:dyDescent="0.35">
      <c r="D100" t="s">
        <v>4504</v>
      </c>
    </row>
    <row r="101" spans="4:4" x14ac:dyDescent="0.35">
      <c r="D101" t="s">
        <v>4505</v>
      </c>
    </row>
    <row r="102" spans="4:4" x14ac:dyDescent="0.35">
      <c r="D102" t="s">
        <v>4506</v>
      </c>
    </row>
    <row r="103" spans="4:4" x14ac:dyDescent="0.35">
      <c r="D103" t="s">
        <v>4507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55</vt:i4>
      </vt:variant>
    </vt:vector>
  </HeadingPairs>
  <TitlesOfParts>
    <vt:vector size="55" baseType="lpstr">
      <vt:lpstr>Index</vt:lpstr>
      <vt:lpstr>Product Strategy</vt:lpstr>
      <vt:lpstr>Product Vision</vt:lpstr>
      <vt:lpstr>Product Requirements</vt:lpstr>
      <vt:lpstr>Feature Dependency Matrix</vt:lpstr>
      <vt:lpstr>Development Roadmap</vt:lpstr>
      <vt:lpstr>Roadmap (5-Year)</vt:lpstr>
      <vt:lpstr>Sprint Planner</vt:lpstr>
      <vt:lpstr>Feature Tracker</vt:lpstr>
      <vt:lpstr>Task Tracker</vt:lpstr>
      <vt:lpstr>Module Tracker</vt:lpstr>
      <vt:lpstr>Architecture Overview</vt:lpstr>
      <vt:lpstr>Module Architecture</vt:lpstr>
      <vt:lpstr>System Diagrams</vt:lpstr>
      <vt:lpstr>Market Data Architecture</vt:lpstr>
      <vt:lpstr>Domain Model</vt:lpstr>
      <vt:lpstr>Event Catalog</vt:lpstr>
      <vt:lpstr>State Machines</vt:lpstr>
      <vt:lpstr>Plugin System</vt:lpstr>
      <vt:lpstr>ADR Log</vt:lpstr>
      <vt:lpstr>UI Screens</vt:lpstr>
      <vt:lpstr>UI Components</vt:lpstr>
      <vt:lpstr>Workspace Layouts</vt:lpstr>
      <vt:lpstr>Navigation Flow</vt:lpstr>
      <vt:lpstr>User Journey</vt:lpstr>
      <vt:lpstr>UX Standards</vt:lpstr>
      <vt:lpstr>Database Schema</vt:lpstr>
      <vt:lpstr>Database Dictionary</vt:lpstr>
      <vt:lpstr>API Registry</vt:lpstr>
      <vt:lpstr>Configuration Matrix</vt:lpstr>
      <vt:lpstr>Data Retention Policy</vt:lpstr>
      <vt:lpstr>Strategy Classification</vt:lpstr>
      <vt:lpstr>Strategy Library</vt:lpstr>
      <vt:lpstr>AI Architecture</vt:lpstr>
      <vt:lpstr>AI Assistant Modules</vt:lpstr>
      <vt:lpstr>Risk Management</vt:lpstr>
      <vt:lpstr>Broker Integration</vt:lpstr>
      <vt:lpstr>Security Checklist</vt:lpstr>
      <vt:lpstr>Permissions Matrix</vt:lpstr>
      <vt:lpstr>Coding Standards</vt:lpstr>
      <vt:lpstr>Testing Matrix</vt:lpstr>
      <vt:lpstr>Test Data Catalog</vt:lpstr>
      <vt:lpstr>Performance Benchmarks</vt:lpstr>
      <vt:lpstr>Error Code Catalog</vt:lpstr>
      <vt:lpstr>Deployment Checklist</vt:lpstr>
      <vt:lpstr>Enterprise Logging</vt:lpstr>
      <vt:lpstr>Observability &amp; SLOs</vt:lpstr>
      <vt:lpstr>Disaster Recovery</vt:lpstr>
      <vt:lpstr>Release Management</vt:lpstr>
      <vt:lpstr>Release Planner</vt:lpstr>
      <vt:lpstr>Bug Tracker</vt:lpstr>
      <vt:lpstr>Change Log</vt:lpstr>
      <vt:lpstr>Documentation Tracker</vt:lpstr>
      <vt:lpstr>Future Enhancements</vt:lpstr>
      <vt:lpstr>Milestone Track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Ravi Kajla</cp:lastModifiedBy>
  <cp:revision>0</cp:revision>
  <dcterms:created xsi:type="dcterms:W3CDTF">2026-07-14T16:16:50Z</dcterms:created>
  <dcterms:modified xsi:type="dcterms:W3CDTF">2026-07-14T16:44:13Z</dcterms:modified>
  <dc:language>en-US</dc:language>
</cp:coreProperties>
</file>